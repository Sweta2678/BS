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2" yWindow="5076" windowWidth="20376" windowHeight="4992" tabRatio="397"/>
  </bookViews>
  <sheets>
    <sheet name="Master Data" sheetId="3" r:id="rId1"/>
    <sheet name="Specification" sheetId="5" state="hidden" r:id="rId2"/>
    <sheet name="Guideline" sheetId="7" state="hidden" r:id="rId3"/>
    <sheet name="Multi Attributes Input" sheetId="9" r:id="rId4"/>
    <sheet name="Macro Build" sheetId="8" state="hidden" r:id="rId5"/>
  </sheets>
  <functionGroups builtInGroupCount="17"/>
  <externalReferences>
    <externalReference r:id="rId6"/>
  </externalReferences>
  <definedNames>
    <definedName name="_xlnm._FilterDatabase" localSheetId="0" hidden="1">'Master Data'!$A$1:$BZ$3</definedName>
    <definedName name="Checkbox" localSheetId="2">Guideline!$B$429:$B$430</definedName>
    <definedName name="Checkbox" localSheetId="3">'Multi Attributes Input'!$B$176:$B$177</definedName>
    <definedName name="Checkbox" localSheetId="1">Specification!$B$429:$B$430</definedName>
    <definedName name="Checkbox">#REF!</definedName>
    <definedName name="EM_Category" localSheetId="2">Guideline!$B$446:$B$449</definedName>
    <definedName name="EM_Category" localSheetId="3">'Multi Attributes Input'!$B$279:$B$282</definedName>
    <definedName name="EM_Category" localSheetId="1">Specification!$B$446:$B$449</definedName>
    <definedName name="EM_Category">#REF!</definedName>
    <definedName name="EM_Corporate_Department" localSheetId="2">Guideline!$B$569:$B$583</definedName>
    <definedName name="EM_Corporate_Department" localSheetId="3">'Multi Attributes Input'!$B$402:$B$416</definedName>
    <definedName name="EM_Corporate_Department" localSheetId="1">Specification!$B$569:$B$583</definedName>
    <definedName name="EM_Corporate_Department">#REF!</definedName>
    <definedName name="EM_Critical" localSheetId="2">Guideline!$B$480:$B$484</definedName>
    <definedName name="EM_Critical" localSheetId="3">'Multi Attributes Input'!$B$313:$B$317</definedName>
    <definedName name="EM_Critical" localSheetId="1">Specification!$B$480:$B$484</definedName>
    <definedName name="EM_Critical">#REF!</definedName>
    <definedName name="EM_Department_Applicability" localSheetId="2">Guideline!$B$452:$B$477</definedName>
    <definedName name="EM_Department_Applicability" localSheetId="3">'Multi Attributes Input'!$B$285:$B$310</definedName>
    <definedName name="EM_Department_Applicability" localSheetId="1">Specification!$B$452:$B$477</definedName>
    <definedName name="EM_Department_Applicability">#REF!</definedName>
    <definedName name="EM_Finance" localSheetId="2">Guideline!$B$612:$B$613</definedName>
    <definedName name="EM_Finance" localSheetId="3">'Multi Attributes Input'!$B$445:$B$446</definedName>
    <definedName name="EM_Finance" localSheetId="1">Specification!$B$612:$B$613</definedName>
    <definedName name="EM_Finance">#REF!</definedName>
    <definedName name="EM_Guest_Journey" localSheetId="2">Guideline!$B$487:$B$504</definedName>
    <definedName name="EM_Guest_Journey" localSheetId="3">'Multi Attributes Input'!$B$320:$B$337</definedName>
    <definedName name="EM_Guest_Journey" localSheetId="1">Specification!$B$487:$B$504</definedName>
    <definedName name="EM_Guest_Journey">#REF!</definedName>
    <definedName name="EM_IHG_Supporting_Link_Types" localSheetId="2">Guideline!$B$623:$B$641</definedName>
    <definedName name="EM_IHG_Supporting_Link_Types" localSheetId="3">'Multi Attributes Input'!$B$456:$B$474</definedName>
    <definedName name="EM_IHG_Supporting_Link_Types" localSheetId="1">Specification!$B$623:$B$641</definedName>
    <definedName name="EM_IHG_Supporting_Link_Types">#REF!</definedName>
    <definedName name="EM_Location_within_Hotel" localSheetId="2">Guideline!$B$507:$B$562</definedName>
    <definedName name="EM_Location_within_Hotel" localSheetId="3">'Multi Attributes Input'!$B$340:$B$395</definedName>
    <definedName name="EM_Location_within_Hotel" localSheetId="1">Specification!$B$507:$B$562</definedName>
    <definedName name="EM_Location_within_Hotel">#REF!</definedName>
    <definedName name="EM_Manual" localSheetId="2">Guideline!$B$565:$B$566</definedName>
    <definedName name="EM_Manual" localSheetId="3">'Multi Attributes Input'!$B$398:$B$399</definedName>
    <definedName name="EM_Manual" localSheetId="1">Specification!$B$565:$B$566</definedName>
    <definedName name="EM_Manual">#REF!</definedName>
    <definedName name="EM_New_Amend_Delete" localSheetId="2">Guideline!$B$646:$B$648</definedName>
    <definedName name="EM_New_Amend_Delete" localSheetId="3">'Multi Attributes Input'!$B$479:$B$481</definedName>
    <definedName name="EM_New_Amend_Delete" localSheetId="1">Specification!$B$646:$B$648</definedName>
    <definedName name="EM_New_Amend_Delete">#REF!</definedName>
    <definedName name="EM_Ownership_Type" localSheetId="2">Guideline!$B$607:$B$609</definedName>
    <definedName name="EM_Ownership_Type" localSheetId="3">'Multi Attributes Input'!$B$440:$B$442</definedName>
    <definedName name="EM_Ownership_Type" localSheetId="1">Specification!$B$607:$B$609</definedName>
    <definedName name="EM_Ownership_Type">#REF!</definedName>
    <definedName name="EM_Status" localSheetId="2">Guideline!$B$434:$B$439</definedName>
    <definedName name="EM_Status" localSheetId="3">'Multi Attributes Input'!$B$181:$B$186</definedName>
    <definedName name="EM_Status" localSheetId="1">Specification!$B$434:$B$439</definedName>
    <definedName name="EM_Status">#REF!</definedName>
    <definedName name="EM_The_Five_Action_Ps" localSheetId="2">Guideline!$B$616:$B$620</definedName>
    <definedName name="EM_The_Five_Action_Ps" localSheetId="3">'Multi Attributes Input'!$B$449:$B$453</definedName>
    <definedName name="EM_The_Five_Action_Ps" localSheetId="1">Specification!$B$616:$B$620</definedName>
    <definedName name="EM_The_Five_Action_Ps">#REF!</definedName>
    <definedName name="EM_Wheel_Quadrant" localSheetId="2">Guideline!$B$586:$B$604</definedName>
    <definedName name="EM_Wheel_Quadrant" localSheetId="3">'Multi Attributes Input'!$B$419:$B$437</definedName>
    <definedName name="EM_Wheel_Quadrant" localSheetId="1">Specification!$B$586:$B$604</definedName>
    <definedName name="EM_Wheel_Quadrant">#REF!</definedName>
    <definedName name="EM_Yes_No" localSheetId="2">Guideline!$B$442:$B$443</definedName>
    <definedName name="EM_Yes_No" localSheetId="3">'Multi Attributes Input'!$B$191:$B$192</definedName>
    <definedName name="EM_Yes_No" localSheetId="1">Specification!$B$442:$B$443</definedName>
    <definedName name="EM_Yes_No">#REF!</definedName>
    <definedName name="Index" localSheetId="3">'Multi Attributes Input'!#REF!</definedName>
    <definedName name="Index">#REF!</definedName>
    <definedName name="_xlnm.Print_Area" localSheetId="2">Guideline!$A$1:$H$398</definedName>
    <definedName name="_xlnm.Print_Area" localSheetId="3">'Multi Attributes Input'!$A$1:$H$136</definedName>
    <definedName name="_xlnm.Print_Area" localSheetId="1">Specification!$A$1:$H$398</definedName>
    <definedName name="Ref">'[1]Drop Down'!$A$7:$A$9</definedName>
  </definedNames>
  <calcPr calcId="145621"/>
</workbook>
</file>

<file path=xl/calcChain.xml><?xml version="1.0" encoding="utf-8"?>
<calcChain xmlns="http://schemas.openxmlformats.org/spreadsheetml/2006/main">
  <c r="AR1" i="3" l="1"/>
  <c r="V89" i="9"/>
  <c r="BZ2" i="3" s="1"/>
  <c r="R53" i="9" l="1"/>
  <c r="T53" i="9"/>
  <c r="V53" i="9"/>
  <c r="R55" i="9"/>
  <c r="T55" i="9"/>
  <c r="V55" i="9"/>
  <c r="R57" i="9"/>
  <c r="T57" i="9"/>
  <c r="V57" i="9"/>
  <c r="R59" i="9"/>
  <c r="T59" i="9"/>
  <c r="V59" i="9"/>
  <c r="R61" i="9"/>
  <c r="T61" i="9"/>
  <c r="V61" i="9"/>
  <c r="D174" i="9" l="1"/>
  <c r="D175" i="9"/>
  <c r="D176" i="9"/>
  <c r="D177" i="9"/>
  <c r="D178" i="9"/>
  <c r="D179" i="9"/>
  <c r="D181" i="9"/>
  <c r="D182" i="9"/>
  <c r="D183" i="9"/>
  <c r="D184" i="9"/>
  <c r="D185" i="9"/>
  <c r="D186" i="9"/>
  <c r="D188" i="9"/>
  <c r="C1" i="3" l="1"/>
  <c r="D1" i="3"/>
  <c r="E1" i="3"/>
  <c r="F1" i="3"/>
  <c r="G1" i="3"/>
  <c r="M1" i="3" l="1"/>
  <c r="T29" i="9"/>
  <c r="M2" i="3" s="1"/>
  <c r="R29" i="9"/>
  <c r="L2" i="3" s="1"/>
  <c r="V27" i="9"/>
  <c r="K2" i="3" s="1"/>
  <c r="T27" i="9"/>
  <c r="J2" i="3" s="1"/>
  <c r="R27" i="9"/>
  <c r="I2" i="3" s="1"/>
  <c r="L1" i="3"/>
  <c r="I130" i="9" l="1"/>
  <c r="I126" i="9"/>
  <c r="I124" i="9"/>
  <c r="V120" i="9"/>
  <c r="T120" i="9"/>
  <c r="V119" i="9"/>
  <c r="T119" i="9"/>
  <c r="V114" i="9"/>
  <c r="T114" i="9"/>
  <c r="V113" i="9"/>
  <c r="T113" i="9"/>
  <c r="V105" i="9"/>
  <c r="T105" i="9"/>
  <c r="V104" i="9"/>
  <c r="T104" i="9"/>
  <c r="V103" i="9"/>
  <c r="T103" i="9"/>
  <c r="V97" i="9"/>
  <c r="T97" i="9"/>
  <c r="V96" i="9"/>
  <c r="T96" i="9"/>
  <c r="V95" i="9"/>
  <c r="T95" i="9"/>
  <c r="V42" i="9"/>
  <c r="T2" i="3" s="1"/>
  <c r="T42" i="9"/>
  <c r="R2" i="3" s="1"/>
  <c r="R42" i="9"/>
  <c r="P2" i="3" s="1"/>
  <c r="V40" i="9"/>
  <c r="S2" i="3" s="1"/>
  <c r="T40" i="9"/>
  <c r="Q2" i="3" s="1"/>
  <c r="R40" i="9"/>
  <c r="O2" i="3" s="1"/>
  <c r="T89" i="9"/>
  <c r="BG2" i="3" s="1"/>
  <c r="R89" i="9"/>
  <c r="AN2" i="3" s="1"/>
  <c r="V87" i="9"/>
  <c r="BY2" i="3" s="1"/>
  <c r="T87" i="9"/>
  <c r="BF2" i="3" s="1"/>
  <c r="R87" i="9"/>
  <c r="AM2" i="3" s="1"/>
  <c r="V85" i="9"/>
  <c r="BX2" i="3" s="1"/>
  <c r="T85" i="9"/>
  <c r="BE2" i="3" s="1"/>
  <c r="R85" i="9"/>
  <c r="AL2" i="3" s="1"/>
  <c r="V83" i="9"/>
  <c r="BW2" i="3" s="1"/>
  <c r="T83" i="9"/>
  <c r="BD2" i="3" s="1"/>
  <c r="R83" i="9"/>
  <c r="AK2" i="3" s="1"/>
  <c r="V81" i="9"/>
  <c r="BV2" i="3" s="1"/>
  <c r="T81" i="9"/>
  <c r="BC2" i="3" s="1"/>
  <c r="R81" i="9"/>
  <c r="AJ2" i="3" s="1"/>
  <c r="V79" i="9"/>
  <c r="BU2" i="3" s="1"/>
  <c r="T79" i="9"/>
  <c r="BB2" i="3" s="1"/>
  <c r="R79" i="9"/>
  <c r="AI2" i="3" s="1"/>
  <c r="V77" i="9"/>
  <c r="BT2" i="3" s="1"/>
  <c r="T77" i="9"/>
  <c r="BA2" i="3" s="1"/>
  <c r="R77" i="9"/>
  <c r="AH2" i="3" s="1"/>
  <c r="V75" i="9"/>
  <c r="BS2" i="3" s="1"/>
  <c r="T75" i="9"/>
  <c r="AZ2" i="3" s="1"/>
  <c r="R75" i="9"/>
  <c r="AG2" i="3" s="1"/>
  <c r="V73" i="9"/>
  <c r="BR2" i="3" s="1"/>
  <c r="T73" i="9"/>
  <c r="AY2" i="3" s="1"/>
  <c r="R73" i="9"/>
  <c r="AF2" i="3" s="1"/>
  <c r="V71" i="9"/>
  <c r="BQ2" i="3" s="1"/>
  <c r="T71" i="9"/>
  <c r="AX2" i="3" s="1"/>
  <c r="R71" i="9"/>
  <c r="AE2" i="3" s="1"/>
  <c r="V69" i="9"/>
  <c r="BP2" i="3" s="1"/>
  <c r="T69" i="9"/>
  <c r="AW2" i="3" s="1"/>
  <c r="R69" i="9"/>
  <c r="AD2" i="3" s="1"/>
  <c r="V67" i="9"/>
  <c r="BO2" i="3" s="1"/>
  <c r="T67" i="9"/>
  <c r="AV2" i="3" s="1"/>
  <c r="R67" i="9"/>
  <c r="AC2" i="3" s="1"/>
  <c r="V65" i="9"/>
  <c r="BN2" i="3" s="1"/>
  <c r="T65" i="9"/>
  <c r="AU2" i="3" s="1"/>
  <c r="R65" i="9"/>
  <c r="AB2" i="3" s="1"/>
  <c r="V63" i="9"/>
  <c r="BM2" i="3" s="1"/>
  <c r="T63" i="9"/>
  <c r="AT2" i="3" s="1"/>
  <c r="R63" i="9"/>
  <c r="AA2" i="3" s="1"/>
  <c r="BL2" i="3"/>
  <c r="AS2" i="3"/>
  <c r="BK2" i="3"/>
  <c r="AR2" i="3"/>
  <c r="Y2" i="3"/>
  <c r="BJ2" i="3"/>
  <c r="AQ2" i="3"/>
  <c r="X2" i="3"/>
  <c r="BI2" i="3"/>
  <c r="AP2" i="3"/>
  <c r="W2" i="3"/>
  <c r="BH2" i="3"/>
  <c r="AO2" i="3"/>
  <c r="V2" i="3"/>
  <c r="J9" i="9"/>
  <c r="M9" i="9" s="1"/>
  <c r="I7" i="9"/>
  <c r="J4" i="9"/>
  <c r="M4" i="9" s="1"/>
  <c r="J2" i="9"/>
  <c r="M2" i="9" s="1"/>
  <c r="Z2" i="3" l="1"/>
  <c r="V1" i="3"/>
  <c r="W1" i="3"/>
  <c r="X1" i="3"/>
  <c r="Y1" i="3"/>
  <c r="Z1" i="3"/>
  <c r="AA1" i="3"/>
  <c r="AB1" i="3"/>
  <c r="AC1" i="3"/>
  <c r="AD1" i="3"/>
  <c r="AE1" i="3"/>
  <c r="AF1" i="3"/>
  <c r="AG1" i="3"/>
  <c r="AH1" i="3"/>
  <c r="AI1" i="3"/>
  <c r="AJ1" i="3"/>
  <c r="AK1" i="3"/>
  <c r="AL1" i="3"/>
  <c r="AM1" i="3"/>
  <c r="AN1" i="3"/>
  <c r="AO1" i="3"/>
  <c r="AP1" i="3"/>
  <c r="AQ1" i="3"/>
  <c r="AS1" i="3"/>
  <c r="AT1" i="3"/>
  <c r="AU1" i="3"/>
  <c r="AV1" i="3"/>
  <c r="AW1" i="3"/>
  <c r="AX1" i="3"/>
  <c r="AY1" i="3"/>
  <c r="AZ1" i="3"/>
  <c r="BA1" i="3"/>
  <c r="BB1" i="3"/>
  <c r="BC1" i="3"/>
  <c r="BD1" i="3"/>
  <c r="BE1" i="3"/>
  <c r="BF1" i="3"/>
  <c r="BG1" i="3"/>
  <c r="BH1" i="3"/>
  <c r="BI1" i="3"/>
  <c r="BJ1" i="3"/>
  <c r="BK1" i="3"/>
  <c r="BL1" i="3"/>
  <c r="BM1" i="3"/>
  <c r="BN1" i="3"/>
  <c r="BO1" i="3"/>
  <c r="BP1" i="3"/>
  <c r="BQ1" i="3"/>
  <c r="BR1" i="3"/>
  <c r="BS1" i="3"/>
  <c r="BT1" i="3"/>
  <c r="BU1" i="3"/>
  <c r="BV1" i="3"/>
  <c r="BW1" i="3"/>
  <c r="BX1" i="3"/>
  <c r="BY1" i="3"/>
  <c r="BZ1" i="3"/>
  <c r="O1" i="3"/>
  <c r="P1" i="3"/>
  <c r="Q1" i="3"/>
  <c r="R1" i="3"/>
  <c r="S1" i="3"/>
  <c r="T1" i="3"/>
  <c r="I1" i="3"/>
  <c r="J1" i="3"/>
  <c r="K1" i="3"/>
  <c r="B1" i="3"/>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8" i="8"/>
  <c r="BF17" i="8"/>
  <c r="BA26" i="8" s="1"/>
  <c r="BF18" i="8"/>
  <c r="BA27" i="8" s="1"/>
  <c r="BF19" i="8"/>
  <c r="BA28" i="8" s="1"/>
  <c r="BF20" i="8"/>
  <c r="BA29" i="8" s="1"/>
  <c r="BF21" i="8"/>
  <c r="BA30" i="8" s="1"/>
  <c r="BF16" i="8"/>
  <c r="BA25" i="8" s="1"/>
  <c r="M1" i="9" l="1"/>
  <c r="J7" i="7" l="1"/>
  <c r="I392" i="7"/>
  <c r="I388" i="7"/>
  <c r="I386" i="7"/>
  <c r="L196" i="7"/>
  <c r="I7" i="7"/>
  <c r="M7" i="7"/>
  <c r="I4" i="7"/>
  <c r="J2" i="7"/>
  <c r="M2" i="7" s="1"/>
  <c r="I392" i="5"/>
  <c r="I388" i="5"/>
  <c r="I386" i="5"/>
  <c r="L196" i="5"/>
  <c r="I7" i="5"/>
  <c r="J4" i="5"/>
  <c r="M4" i="5" s="1"/>
  <c r="I4" i="5"/>
  <c r="J2" i="5"/>
  <c r="M2" i="5" s="1"/>
  <c r="H382" i="7" l="1"/>
  <c r="F382" i="7"/>
  <c r="D382" i="7"/>
  <c r="H380" i="7"/>
  <c r="F380" i="7"/>
  <c r="D380" i="7"/>
  <c r="H376" i="7"/>
  <c r="F376" i="7"/>
  <c r="D376" i="7"/>
  <c r="H374" i="7"/>
  <c r="F374" i="7"/>
  <c r="D374" i="7"/>
  <c r="E350" i="7"/>
  <c r="C350" i="7"/>
  <c r="G348" i="7"/>
  <c r="E348" i="7"/>
  <c r="C348" i="7"/>
  <c r="C344" i="7"/>
  <c r="E338" i="7"/>
  <c r="C338" i="7"/>
  <c r="C334" i="7"/>
  <c r="G328" i="7"/>
  <c r="L328" i="7" s="1"/>
  <c r="E328" i="7"/>
  <c r="K328" i="7" s="1"/>
  <c r="C328" i="7"/>
  <c r="J328" i="7" s="1"/>
  <c r="C324" i="7"/>
  <c r="E318" i="7"/>
  <c r="C318" i="7"/>
  <c r="E316" i="7"/>
  <c r="C316" i="7"/>
  <c r="G314" i="7"/>
  <c r="E314" i="7"/>
  <c r="C314" i="7"/>
  <c r="G312" i="7"/>
  <c r="E312" i="7"/>
  <c r="C312" i="7"/>
  <c r="G310" i="7"/>
  <c r="E310" i="7"/>
  <c r="C310" i="7"/>
  <c r="G308" i="7"/>
  <c r="E308" i="7"/>
  <c r="C308" i="7"/>
  <c r="G306" i="7"/>
  <c r="E306" i="7"/>
  <c r="C306" i="7"/>
  <c r="G302" i="7"/>
  <c r="L302" i="7" s="1"/>
  <c r="E302" i="7"/>
  <c r="K302" i="7" s="1"/>
  <c r="C302" i="7"/>
  <c r="J302" i="7" s="1"/>
  <c r="G300" i="7"/>
  <c r="L300" i="7" s="1"/>
  <c r="E300" i="7"/>
  <c r="K300" i="7" s="1"/>
  <c r="C300" i="7"/>
  <c r="J300" i="7" s="1"/>
  <c r="G298" i="7"/>
  <c r="L298" i="7" s="1"/>
  <c r="E298" i="7"/>
  <c r="K298" i="7" s="1"/>
  <c r="C298" i="7"/>
  <c r="J298" i="7" s="1"/>
  <c r="G296" i="7"/>
  <c r="L296" i="7" s="1"/>
  <c r="E296" i="7"/>
  <c r="K296" i="7" s="1"/>
  <c r="C296" i="7"/>
  <c r="J296" i="7" s="1"/>
  <c r="G294" i="7"/>
  <c r="L294" i="7" s="1"/>
  <c r="E294" i="7"/>
  <c r="K294" i="7" s="1"/>
  <c r="C294" i="7"/>
  <c r="J294" i="7" s="1"/>
  <c r="C290" i="7"/>
  <c r="E284" i="7"/>
  <c r="K284" i="7" s="1"/>
  <c r="C284" i="7"/>
  <c r="J284" i="7" s="1"/>
  <c r="C280" i="7"/>
  <c r="E274" i="7"/>
  <c r="C274" i="7"/>
  <c r="G272" i="7"/>
  <c r="E272" i="7"/>
  <c r="C272" i="7"/>
  <c r="G270" i="7"/>
  <c r="E270" i="7"/>
  <c r="C270" i="7"/>
  <c r="G268" i="7"/>
  <c r="E268" i="7"/>
  <c r="C268" i="7"/>
  <c r="G266" i="7"/>
  <c r="E266" i="7"/>
  <c r="C266" i="7"/>
  <c r="G264" i="7"/>
  <c r="E264" i="7"/>
  <c r="C264" i="7"/>
  <c r="G262" i="7"/>
  <c r="E262" i="7"/>
  <c r="C262" i="7"/>
  <c r="G260" i="7"/>
  <c r="E260" i="7"/>
  <c r="C260" i="7"/>
  <c r="G258" i="7"/>
  <c r="E258" i="7"/>
  <c r="C258" i="7"/>
  <c r="G256" i="7"/>
  <c r="E256" i="7"/>
  <c r="C256" i="7"/>
  <c r="G254" i="7"/>
  <c r="E254" i="7"/>
  <c r="C254" i="7"/>
  <c r="G252" i="7"/>
  <c r="E252" i="7"/>
  <c r="C252" i="7"/>
  <c r="G250" i="7"/>
  <c r="E250" i="7"/>
  <c r="C250" i="7"/>
  <c r="G248" i="7"/>
  <c r="E248" i="7"/>
  <c r="C248" i="7"/>
  <c r="G246" i="7"/>
  <c r="E246" i="7"/>
  <c r="C246" i="7"/>
  <c r="G244" i="7"/>
  <c r="E244" i="7"/>
  <c r="C244" i="7"/>
  <c r="G242" i="7"/>
  <c r="E242" i="7"/>
  <c r="C242" i="7"/>
  <c r="G240" i="7"/>
  <c r="E240" i="7"/>
  <c r="C240" i="7"/>
  <c r="G238" i="7"/>
  <c r="E238" i="7"/>
  <c r="C238" i="7"/>
  <c r="C234" i="7"/>
  <c r="E228" i="7"/>
  <c r="K228" i="7" s="1"/>
  <c r="C228" i="7"/>
  <c r="J228" i="7" s="1"/>
  <c r="G226" i="7"/>
  <c r="L226" i="7" s="1"/>
  <c r="E226" i="7"/>
  <c r="K226" i="7" s="1"/>
  <c r="C226" i="7"/>
  <c r="J226" i="7" s="1"/>
  <c r="G224" i="7"/>
  <c r="L224" i="7" s="1"/>
  <c r="E224" i="7"/>
  <c r="K224" i="7" s="1"/>
  <c r="C224" i="7"/>
  <c r="J224" i="7" s="1"/>
  <c r="G222" i="7"/>
  <c r="L222" i="7" s="1"/>
  <c r="E222" i="7"/>
  <c r="K222" i="7" s="1"/>
  <c r="C222" i="7"/>
  <c r="J222" i="7" s="1"/>
  <c r="G220" i="7"/>
  <c r="L220" i="7" s="1"/>
  <c r="E220" i="7"/>
  <c r="K220" i="7" s="1"/>
  <c r="C220" i="7"/>
  <c r="J220" i="7" s="1"/>
  <c r="G218" i="7"/>
  <c r="L218" i="7" s="1"/>
  <c r="E218" i="7"/>
  <c r="K218" i="7" s="1"/>
  <c r="C218" i="7"/>
  <c r="J218" i="7" s="1"/>
  <c r="C214" i="7"/>
  <c r="C208" i="7"/>
  <c r="C206" i="7"/>
  <c r="C204" i="7"/>
  <c r="C202" i="7"/>
  <c r="C200" i="7"/>
  <c r="E196" i="7"/>
  <c r="K196" i="7" s="1"/>
  <c r="C196" i="7"/>
  <c r="J196" i="7" s="1"/>
  <c r="G194" i="7"/>
  <c r="L194" i="7" s="1"/>
  <c r="E194" i="7"/>
  <c r="K194" i="7" s="1"/>
  <c r="C194" i="7"/>
  <c r="J194" i="7" s="1"/>
  <c r="G192" i="7"/>
  <c r="L192" i="7" s="1"/>
  <c r="E192" i="7"/>
  <c r="K192" i="7" s="1"/>
  <c r="C192" i="7"/>
  <c r="J192" i="7" s="1"/>
  <c r="G190" i="7"/>
  <c r="L190" i="7" s="1"/>
  <c r="E190" i="7"/>
  <c r="K190" i="7" s="1"/>
  <c r="C190" i="7"/>
  <c r="J190" i="7" s="1"/>
  <c r="G188" i="7"/>
  <c r="L188" i="7" s="1"/>
  <c r="E188" i="7"/>
  <c r="K188" i="7" s="1"/>
  <c r="C188" i="7"/>
  <c r="J188" i="7" s="1"/>
  <c r="G186" i="7"/>
  <c r="L186" i="7" s="1"/>
  <c r="E186" i="7"/>
  <c r="K186" i="7" s="1"/>
  <c r="C186" i="7"/>
  <c r="J186" i="7" s="1"/>
  <c r="G184" i="7"/>
  <c r="L184" i="7" s="1"/>
  <c r="E184" i="7"/>
  <c r="K184" i="7" s="1"/>
  <c r="C184" i="7"/>
  <c r="J184" i="7" s="1"/>
  <c r="G182" i="7"/>
  <c r="L182" i="7" s="1"/>
  <c r="E182" i="7"/>
  <c r="K182" i="7" s="1"/>
  <c r="C182" i="7"/>
  <c r="J182" i="7" s="1"/>
  <c r="G180" i="7"/>
  <c r="L180" i="7" s="1"/>
  <c r="E180" i="7"/>
  <c r="K180" i="7" s="1"/>
  <c r="C180" i="7"/>
  <c r="J180" i="7" s="1"/>
  <c r="C176" i="7"/>
  <c r="C170" i="7"/>
  <c r="C168" i="7"/>
  <c r="C166" i="7"/>
  <c r="C164" i="7"/>
  <c r="D160" i="7"/>
  <c r="D158" i="7"/>
  <c r="J158" i="7" s="1"/>
  <c r="M158" i="7" s="1"/>
  <c r="D156" i="7"/>
  <c r="J156" i="7" s="1"/>
  <c r="M156" i="7" s="1"/>
  <c r="D154" i="7"/>
  <c r="J154" i="7" s="1"/>
  <c r="M154" i="7" s="1"/>
  <c r="C152" i="7"/>
  <c r="J152" i="7" s="1"/>
  <c r="C150" i="7"/>
  <c r="J150" i="7" s="1"/>
  <c r="C148" i="7"/>
  <c r="J148" i="7" s="1"/>
  <c r="C146" i="7"/>
  <c r="J146" i="7" s="1"/>
  <c r="C142" i="7"/>
  <c r="G138" i="7"/>
  <c r="L138" i="7" s="1"/>
  <c r="E138" i="7"/>
  <c r="K138" i="7" s="1"/>
  <c r="C138" i="7"/>
  <c r="J138" i="7" s="1"/>
  <c r="G136" i="7"/>
  <c r="L136" i="7" s="1"/>
  <c r="E136" i="7"/>
  <c r="K136" i="7" s="1"/>
  <c r="C136" i="7"/>
  <c r="J136" i="7" s="1"/>
  <c r="G134" i="7"/>
  <c r="L134" i="7" s="1"/>
  <c r="E134" i="7"/>
  <c r="K134" i="7" s="1"/>
  <c r="C134" i="7"/>
  <c r="J134" i="7" s="1"/>
  <c r="G132" i="7"/>
  <c r="L132" i="7" s="1"/>
  <c r="E132" i="7"/>
  <c r="K132" i="7" s="1"/>
  <c r="C132" i="7"/>
  <c r="J132" i="7" s="1"/>
  <c r="G130" i="7"/>
  <c r="L130" i="7" s="1"/>
  <c r="E130" i="7"/>
  <c r="K130" i="7" s="1"/>
  <c r="C130" i="7"/>
  <c r="J130" i="7" s="1"/>
  <c r="G128" i="7"/>
  <c r="L128" i="7" s="1"/>
  <c r="E128" i="7"/>
  <c r="K128" i="7" s="1"/>
  <c r="C128" i="7"/>
  <c r="J128" i="7" s="1"/>
  <c r="G126" i="7"/>
  <c r="L126" i="7" s="1"/>
  <c r="E126" i="7"/>
  <c r="K126" i="7" s="1"/>
  <c r="C126" i="7"/>
  <c r="J126" i="7" s="1"/>
  <c r="G124" i="7"/>
  <c r="L124" i="7" s="1"/>
  <c r="E124" i="7"/>
  <c r="K124" i="7" s="1"/>
  <c r="C124" i="7"/>
  <c r="J124" i="7" s="1"/>
  <c r="G122" i="7"/>
  <c r="L122" i="7" s="1"/>
  <c r="E122" i="7"/>
  <c r="K122" i="7" s="1"/>
  <c r="C122" i="7"/>
  <c r="J122" i="7" s="1"/>
  <c r="G120" i="7"/>
  <c r="L120" i="7" s="1"/>
  <c r="E120" i="7"/>
  <c r="K120" i="7" s="1"/>
  <c r="C120" i="7"/>
  <c r="J120" i="7" s="1"/>
  <c r="G118" i="7"/>
  <c r="L118" i="7" s="1"/>
  <c r="E118" i="7"/>
  <c r="K118" i="7" s="1"/>
  <c r="C118" i="7"/>
  <c r="J118" i="7" s="1"/>
  <c r="G116" i="7"/>
  <c r="L116" i="7" s="1"/>
  <c r="E116" i="7"/>
  <c r="K116" i="7" s="1"/>
  <c r="C116" i="7"/>
  <c r="J116" i="7" s="1"/>
  <c r="C112" i="7"/>
  <c r="G108" i="7"/>
  <c r="L108" i="7" s="1"/>
  <c r="E108" i="7"/>
  <c r="K108" i="7" s="1"/>
  <c r="C108" i="7"/>
  <c r="J108" i="7" s="1"/>
  <c r="G106" i="7"/>
  <c r="L106" i="7" s="1"/>
  <c r="E106" i="7"/>
  <c r="K106" i="7" s="1"/>
  <c r="C106" i="7"/>
  <c r="J106" i="7" s="1"/>
  <c r="G104" i="7"/>
  <c r="L104" i="7" s="1"/>
  <c r="E104" i="7"/>
  <c r="K104" i="7" s="1"/>
  <c r="C104" i="7"/>
  <c r="J104" i="7" s="1"/>
  <c r="G102" i="7"/>
  <c r="L102" i="7" s="1"/>
  <c r="E102" i="7"/>
  <c r="K102" i="7" s="1"/>
  <c r="C102" i="7"/>
  <c r="J102" i="7" s="1"/>
  <c r="G100" i="7"/>
  <c r="L100" i="7" s="1"/>
  <c r="E100" i="7"/>
  <c r="K100" i="7" s="1"/>
  <c r="C100" i="7"/>
  <c r="J100" i="7" s="1"/>
  <c r="G98" i="7"/>
  <c r="L98" i="7" s="1"/>
  <c r="E98" i="7"/>
  <c r="K98" i="7" s="1"/>
  <c r="C98" i="7"/>
  <c r="J98" i="7" s="1"/>
  <c r="G96" i="7"/>
  <c r="L96" i="7" s="1"/>
  <c r="E96" i="7"/>
  <c r="K96" i="7" s="1"/>
  <c r="C96" i="7"/>
  <c r="J96" i="7" s="1"/>
  <c r="G94" i="7"/>
  <c r="L94" i="7" s="1"/>
  <c r="E94" i="7"/>
  <c r="K94" i="7" s="1"/>
  <c r="C94" i="7"/>
  <c r="J94" i="7" s="1"/>
  <c r="C90" i="7"/>
  <c r="G86" i="7"/>
  <c r="L86" i="7" s="1"/>
  <c r="E86" i="7"/>
  <c r="K86" i="7" s="1"/>
  <c r="C86" i="7"/>
  <c r="J86" i="7" s="1"/>
  <c r="G84" i="7"/>
  <c r="L84" i="7" s="1"/>
  <c r="E84" i="7"/>
  <c r="K84" i="7" s="1"/>
  <c r="C84" i="7"/>
  <c r="J84" i="7" s="1"/>
  <c r="G82" i="7"/>
  <c r="L82" i="7" s="1"/>
  <c r="E82" i="7"/>
  <c r="K82" i="7" s="1"/>
  <c r="C82" i="7"/>
  <c r="J82" i="7" s="1"/>
  <c r="G80" i="7"/>
  <c r="L80" i="7" s="1"/>
  <c r="E80" i="7"/>
  <c r="K80" i="7" s="1"/>
  <c r="C80" i="7"/>
  <c r="J80" i="7" s="1"/>
  <c r="G78" i="7"/>
  <c r="L78" i="7" s="1"/>
  <c r="E78" i="7"/>
  <c r="K78" i="7" s="1"/>
  <c r="C78" i="7"/>
  <c r="J78" i="7" s="1"/>
  <c r="G76" i="7"/>
  <c r="L76" i="7" s="1"/>
  <c r="E76" i="7"/>
  <c r="K76" i="7" s="1"/>
  <c r="C76" i="7"/>
  <c r="J76" i="7" s="1"/>
  <c r="G74" i="7"/>
  <c r="L74" i="7" s="1"/>
  <c r="E74" i="7"/>
  <c r="K74" i="7" s="1"/>
  <c r="C74" i="7"/>
  <c r="J74" i="7" s="1"/>
  <c r="G72" i="7"/>
  <c r="L72" i="7" s="1"/>
  <c r="E72" i="7"/>
  <c r="K72" i="7" s="1"/>
  <c r="C72" i="7"/>
  <c r="J72" i="7" s="1"/>
  <c r="G70" i="7"/>
  <c r="L70" i="7" s="1"/>
  <c r="E70" i="7"/>
  <c r="K70" i="7" s="1"/>
  <c r="C70" i="7"/>
  <c r="J70" i="7" s="1"/>
  <c r="G68" i="7"/>
  <c r="L68" i="7" s="1"/>
  <c r="E68" i="7"/>
  <c r="K68" i="7" s="1"/>
  <c r="C68" i="7"/>
  <c r="J68" i="7" s="1"/>
  <c r="G66" i="7"/>
  <c r="L66" i="7" s="1"/>
  <c r="E66" i="7"/>
  <c r="K66" i="7" s="1"/>
  <c r="C66" i="7"/>
  <c r="J66" i="7" s="1"/>
  <c r="G64" i="7"/>
  <c r="L64" i="7" s="1"/>
  <c r="E64" i="7"/>
  <c r="K64" i="7" s="1"/>
  <c r="C64" i="7"/>
  <c r="J64" i="7" s="1"/>
  <c r="C60" i="7"/>
  <c r="C56" i="7"/>
  <c r="C51" i="7"/>
  <c r="J51" i="7" s="1"/>
  <c r="E49" i="7"/>
  <c r="K49" i="7" s="1"/>
  <c r="C49" i="7"/>
  <c r="J49" i="7" s="1"/>
  <c r="E47" i="7"/>
  <c r="K47" i="7" s="1"/>
  <c r="C47" i="7"/>
  <c r="J47" i="7" s="1"/>
  <c r="E45" i="7"/>
  <c r="K45" i="7" s="1"/>
  <c r="C45" i="7"/>
  <c r="J45" i="7" s="1"/>
  <c r="E43" i="7"/>
  <c r="K43" i="7" s="1"/>
  <c r="C43" i="7"/>
  <c r="J43" i="7" s="1"/>
  <c r="E41" i="7"/>
  <c r="K41" i="7" s="1"/>
  <c r="C41" i="7"/>
  <c r="J41" i="7" s="1"/>
  <c r="E39" i="7"/>
  <c r="K39" i="7" s="1"/>
  <c r="C39" i="7"/>
  <c r="J39" i="7" s="1"/>
  <c r="C35" i="7"/>
  <c r="D31" i="7"/>
  <c r="J31" i="7" s="1"/>
  <c r="M31" i="7" s="1"/>
  <c r="C29" i="7"/>
  <c r="J29" i="7" s="1"/>
  <c r="C27" i="7"/>
  <c r="J27" i="7" s="1"/>
  <c r="C25" i="7"/>
  <c r="J25" i="7" s="1"/>
  <c r="C23" i="7"/>
  <c r="J23" i="7" s="1"/>
  <c r="C21" i="7"/>
  <c r="J21" i="7" s="1"/>
  <c r="C19" i="7"/>
  <c r="J19" i="7" s="1"/>
  <c r="H382" i="5"/>
  <c r="H380" i="5"/>
  <c r="H376" i="5"/>
  <c r="H374" i="5"/>
  <c r="F382" i="5"/>
  <c r="F380" i="5"/>
  <c r="F376" i="5"/>
  <c r="F374" i="5"/>
  <c r="D382" i="5"/>
  <c r="D380" i="5"/>
  <c r="D376" i="5"/>
  <c r="D374" i="5"/>
  <c r="G348" i="5"/>
  <c r="E350" i="5"/>
  <c r="E348" i="5"/>
  <c r="C350" i="5"/>
  <c r="C348" i="5"/>
  <c r="C344" i="5"/>
  <c r="E338" i="5"/>
  <c r="C338" i="5"/>
  <c r="C334" i="5"/>
  <c r="G328" i="5"/>
  <c r="L328" i="5" s="1"/>
  <c r="E328" i="5"/>
  <c r="K328" i="5" s="1"/>
  <c r="C328" i="5"/>
  <c r="J328" i="5" s="1"/>
  <c r="C324" i="5"/>
  <c r="G314" i="5"/>
  <c r="G312" i="5"/>
  <c r="G310" i="5"/>
  <c r="G308" i="5"/>
  <c r="G306" i="5"/>
  <c r="E318" i="5"/>
  <c r="E316" i="5"/>
  <c r="E314" i="5"/>
  <c r="E312" i="5"/>
  <c r="E310" i="5"/>
  <c r="E308" i="5"/>
  <c r="E306" i="5"/>
  <c r="C318" i="5"/>
  <c r="C316" i="5"/>
  <c r="C314" i="5"/>
  <c r="C312" i="5"/>
  <c r="C310" i="5"/>
  <c r="C308" i="5"/>
  <c r="C306" i="5"/>
  <c r="G302" i="5"/>
  <c r="L302" i="5" s="1"/>
  <c r="G300" i="5"/>
  <c r="L300" i="5" s="1"/>
  <c r="G298" i="5"/>
  <c r="L298" i="5" s="1"/>
  <c r="G296" i="5"/>
  <c r="L296" i="5" s="1"/>
  <c r="G294" i="5"/>
  <c r="L294" i="5" s="1"/>
  <c r="E302" i="5"/>
  <c r="K302" i="5" s="1"/>
  <c r="E300" i="5"/>
  <c r="K300" i="5" s="1"/>
  <c r="E298" i="5"/>
  <c r="K298" i="5" s="1"/>
  <c r="E296" i="5"/>
  <c r="K296" i="5" s="1"/>
  <c r="E294" i="5"/>
  <c r="K294" i="5" s="1"/>
  <c r="C302" i="5"/>
  <c r="J302" i="5" s="1"/>
  <c r="C300" i="5"/>
  <c r="J300" i="5" s="1"/>
  <c r="C298" i="5"/>
  <c r="J298" i="5" s="1"/>
  <c r="C296" i="5"/>
  <c r="J296" i="5" s="1"/>
  <c r="C294" i="5"/>
  <c r="J294" i="5" s="1"/>
  <c r="C290" i="5"/>
  <c r="E284" i="5"/>
  <c r="K284" i="5" s="1"/>
  <c r="C284" i="5"/>
  <c r="J284" i="5" s="1"/>
  <c r="C280" i="5"/>
  <c r="G272" i="5"/>
  <c r="G270" i="5"/>
  <c r="G268" i="5"/>
  <c r="G266" i="5"/>
  <c r="G264" i="5"/>
  <c r="G262" i="5"/>
  <c r="G260" i="5"/>
  <c r="G258" i="5"/>
  <c r="G256" i="5"/>
  <c r="G254" i="5"/>
  <c r="G252" i="5"/>
  <c r="G250" i="5"/>
  <c r="G248" i="5"/>
  <c r="G246" i="5"/>
  <c r="G244" i="5"/>
  <c r="G242" i="5"/>
  <c r="G240" i="5"/>
  <c r="G238" i="5"/>
  <c r="E274" i="5"/>
  <c r="E272" i="5"/>
  <c r="E270" i="5"/>
  <c r="E268" i="5"/>
  <c r="E266" i="5"/>
  <c r="E264" i="5"/>
  <c r="E262" i="5"/>
  <c r="E260" i="5"/>
  <c r="E258" i="5"/>
  <c r="E256" i="5"/>
  <c r="E254" i="5"/>
  <c r="E252" i="5"/>
  <c r="E250" i="5"/>
  <c r="E248" i="5"/>
  <c r="E246" i="5"/>
  <c r="E244" i="5"/>
  <c r="E242" i="5"/>
  <c r="E240" i="5"/>
  <c r="E238" i="5"/>
  <c r="C274" i="5"/>
  <c r="C272" i="5"/>
  <c r="C270" i="5"/>
  <c r="C268" i="5"/>
  <c r="C266" i="5"/>
  <c r="C264" i="5"/>
  <c r="C262" i="5"/>
  <c r="C260" i="5"/>
  <c r="C258" i="5"/>
  <c r="C256" i="5"/>
  <c r="C254" i="5"/>
  <c r="C252" i="5"/>
  <c r="C250" i="5"/>
  <c r="C248" i="5"/>
  <c r="C246" i="5"/>
  <c r="C244" i="5"/>
  <c r="C242" i="5"/>
  <c r="C240" i="5"/>
  <c r="C238" i="5"/>
  <c r="C234" i="5"/>
  <c r="G226" i="5"/>
  <c r="L226" i="5" s="1"/>
  <c r="G224" i="5"/>
  <c r="L224" i="5" s="1"/>
  <c r="G222" i="5"/>
  <c r="L222" i="5" s="1"/>
  <c r="G220" i="5"/>
  <c r="L220" i="5" s="1"/>
  <c r="G218" i="5"/>
  <c r="L218" i="5" s="1"/>
  <c r="E228" i="5"/>
  <c r="K228" i="5" s="1"/>
  <c r="E226" i="5"/>
  <c r="K226" i="5" s="1"/>
  <c r="E224" i="5"/>
  <c r="K224" i="5" s="1"/>
  <c r="E222" i="5"/>
  <c r="K222" i="5" s="1"/>
  <c r="E220" i="5"/>
  <c r="K220" i="5" s="1"/>
  <c r="E218" i="5"/>
  <c r="K218" i="5" s="1"/>
  <c r="C228" i="5"/>
  <c r="J228" i="5" s="1"/>
  <c r="C226" i="5"/>
  <c r="J226" i="5" s="1"/>
  <c r="C224" i="5"/>
  <c r="J224" i="5" s="1"/>
  <c r="C222" i="5"/>
  <c r="J222" i="5" s="1"/>
  <c r="C220" i="5"/>
  <c r="J220" i="5" s="1"/>
  <c r="C218" i="5"/>
  <c r="J218" i="5" s="1"/>
  <c r="C214" i="5"/>
  <c r="C208" i="5"/>
  <c r="C206" i="5"/>
  <c r="C204" i="5"/>
  <c r="C202" i="5"/>
  <c r="C200" i="5"/>
  <c r="G194" i="5"/>
  <c r="L194" i="5" s="1"/>
  <c r="G192" i="5"/>
  <c r="L192" i="5" s="1"/>
  <c r="G190" i="5"/>
  <c r="L190" i="5" s="1"/>
  <c r="G188" i="5"/>
  <c r="L188" i="5" s="1"/>
  <c r="G186" i="5"/>
  <c r="L186" i="5" s="1"/>
  <c r="G184" i="5"/>
  <c r="L184" i="5" s="1"/>
  <c r="G182" i="5"/>
  <c r="L182" i="5" s="1"/>
  <c r="G180" i="5"/>
  <c r="L180" i="5" s="1"/>
  <c r="E196" i="5"/>
  <c r="K196" i="5" s="1"/>
  <c r="E194" i="5"/>
  <c r="K194" i="5" s="1"/>
  <c r="E192" i="5"/>
  <c r="K192" i="5" s="1"/>
  <c r="E190" i="5"/>
  <c r="K190" i="5" s="1"/>
  <c r="E188" i="5"/>
  <c r="K188" i="5" s="1"/>
  <c r="E186" i="5"/>
  <c r="K186" i="5" s="1"/>
  <c r="E184" i="5"/>
  <c r="K184" i="5" s="1"/>
  <c r="E182" i="5"/>
  <c r="K182" i="5" s="1"/>
  <c r="E180" i="5"/>
  <c r="K180" i="5" s="1"/>
  <c r="C196" i="5"/>
  <c r="J196" i="5" s="1"/>
  <c r="C194" i="5"/>
  <c r="J194" i="5" s="1"/>
  <c r="C192" i="5"/>
  <c r="J192" i="5" s="1"/>
  <c r="C190" i="5"/>
  <c r="J190" i="5" s="1"/>
  <c r="C188" i="5"/>
  <c r="J188" i="5" s="1"/>
  <c r="C186" i="5"/>
  <c r="J186" i="5" s="1"/>
  <c r="C184" i="5"/>
  <c r="J184" i="5" s="1"/>
  <c r="C182" i="5"/>
  <c r="J182" i="5" s="1"/>
  <c r="C180" i="5"/>
  <c r="J180" i="5" s="1"/>
  <c r="C176" i="5"/>
  <c r="C170" i="5"/>
  <c r="C168" i="5"/>
  <c r="C166" i="5"/>
  <c r="C164" i="5"/>
  <c r="D160" i="5"/>
  <c r="D158" i="5"/>
  <c r="J158" i="5" s="1"/>
  <c r="M158" i="5" s="1"/>
  <c r="D156" i="5"/>
  <c r="J156" i="5" s="1"/>
  <c r="M156" i="5" s="1"/>
  <c r="D154" i="5"/>
  <c r="J154" i="5" s="1"/>
  <c r="M154" i="5" s="1"/>
  <c r="D31" i="5"/>
  <c r="J31" i="5" s="1"/>
  <c r="M31" i="5" s="1"/>
  <c r="C152" i="5"/>
  <c r="J152" i="5" s="1"/>
  <c r="C150" i="5"/>
  <c r="J150" i="5" s="1"/>
  <c r="C148" i="5"/>
  <c r="J148" i="5" s="1"/>
  <c r="C146" i="5"/>
  <c r="J146" i="5" s="1"/>
  <c r="C142" i="5"/>
  <c r="G138" i="5"/>
  <c r="L138" i="5" s="1"/>
  <c r="G136" i="5"/>
  <c r="L136" i="5" s="1"/>
  <c r="G134" i="5"/>
  <c r="L134" i="5" s="1"/>
  <c r="G132" i="5"/>
  <c r="L132" i="5" s="1"/>
  <c r="G130" i="5"/>
  <c r="L130" i="5" s="1"/>
  <c r="G128" i="5"/>
  <c r="L128" i="5" s="1"/>
  <c r="G126" i="5"/>
  <c r="L126" i="5" s="1"/>
  <c r="G124" i="5"/>
  <c r="L124" i="5" s="1"/>
  <c r="G122" i="5"/>
  <c r="L122" i="5" s="1"/>
  <c r="G120" i="5"/>
  <c r="L120" i="5" s="1"/>
  <c r="G118" i="5"/>
  <c r="L118" i="5" s="1"/>
  <c r="G116" i="5"/>
  <c r="L116" i="5" s="1"/>
  <c r="E138" i="5"/>
  <c r="K138" i="5" s="1"/>
  <c r="E136" i="5"/>
  <c r="K136" i="5" s="1"/>
  <c r="E134" i="5"/>
  <c r="K134" i="5" s="1"/>
  <c r="E132" i="5"/>
  <c r="K132" i="5" s="1"/>
  <c r="E130" i="5"/>
  <c r="K130" i="5" s="1"/>
  <c r="E128" i="5"/>
  <c r="K128" i="5" s="1"/>
  <c r="E126" i="5"/>
  <c r="K126" i="5" s="1"/>
  <c r="E124" i="5"/>
  <c r="K124" i="5" s="1"/>
  <c r="E122" i="5"/>
  <c r="K122" i="5" s="1"/>
  <c r="E120" i="5"/>
  <c r="K120" i="5" s="1"/>
  <c r="E118" i="5"/>
  <c r="K118" i="5" s="1"/>
  <c r="E116" i="5"/>
  <c r="K116" i="5" s="1"/>
  <c r="C138" i="5"/>
  <c r="J138" i="5" s="1"/>
  <c r="C136" i="5"/>
  <c r="J136" i="5" s="1"/>
  <c r="C134" i="5"/>
  <c r="J134" i="5" s="1"/>
  <c r="C132" i="5"/>
  <c r="J132" i="5" s="1"/>
  <c r="C130" i="5"/>
  <c r="J130" i="5" s="1"/>
  <c r="C128" i="5"/>
  <c r="J128" i="5" s="1"/>
  <c r="C126" i="5"/>
  <c r="J126" i="5" s="1"/>
  <c r="C124" i="5"/>
  <c r="J124" i="5" s="1"/>
  <c r="C122" i="5"/>
  <c r="J122" i="5" s="1"/>
  <c r="C120" i="5"/>
  <c r="J120" i="5" s="1"/>
  <c r="C118" i="5"/>
  <c r="J118" i="5" s="1"/>
  <c r="C116" i="5"/>
  <c r="J116" i="5" s="1"/>
  <c r="C112" i="5"/>
  <c r="G108" i="5"/>
  <c r="L108" i="5" s="1"/>
  <c r="G106" i="5"/>
  <c r="L106" i="5" s="1"/>
  <c r="G104" i="5"/>
  <c r="L104" i="5" s="1"/>
  <c r="G102" i="5"/>
  <c r="L102" i="5" s="1"/>
  <c r="G100" i="5"/>
  <c r="L100" i="5" s="1"/>
  <c r="G98" i="5"/>
  <c r="L98" i="5" s="1"/>
  <c r="G96" i="5"/>
  <c r="L96" i="5" s="1"/>
  <c r="G94" i="5"/>
  <c r="L94" i="5" s="1"/>
  <c r="E108" i="5"/>
  <c r="K108" i="5" s="1"/>
  <c r="E106" i="5"/>
  <c r="K106" i="5" s="1"/>
  <c r="E104" i="5"/>
  <c r="K104" i="5" s="1"/>
  <c r="E102" i="5"/>
  <c r="K102" i="5" s="1"/>
  <c r="E100" i="5"/>
  <c r="K100" i="5" s="1"/>
  <c r="E98" i="5"/>
  <c r="K98" i="5" s="1"/>
  <c r="E96" i="5"/>
  <c r="K96" i="5" s="1"/>
  <c r="E94" i="5"/>
  <c r="K94" i="5" s="1"/>
  <c r="C108" i="5"/>
  <c r="J108" i="5" s="1"/>
  <c r="C106" i="5"/>
  <c r="J106" i="5" s="1"/>
  <c r="C104" i="5"/>
  <c r="J104" i="5" s="1"/>
  <c r="C102" i="5"/>
  <c r="J102" i="5" s="1"/>
  <c r="C100" i="5"/>
  <c r="J100" i="5" s="1"/>
  <c r="C98" i="5"/>
  <c r="J98" i="5" s="1"/>
  <c r="C96" i="5"/>
  <c r="J96" i="5" s="1"/>
  <c r="C94" i="5"/>
  <c r="J94" i="5" s="1"/>
  <c r="C90" i="5"/>
  <c r="G86" i="5"/>
  <c r="L86" i="5" s="1"/>
  <c r="G84" i="5"/>
  <c r="L84" i="5" s="1"/>
  <c r="G82" i="5"/>
  <c r="L82" i="5" s="1"/>
  <c r="G80" i="5"/>
  <c r="L80" i="5" s="1"/>
  <c r="G78" i="5"/>
  <c r="L78" i="5" s="1"/>
  <c r="G76" i="5"/>
  <c r="L76" i="5" s="1"/>
  <c r="G74" i="5"/>
  <c r="L74" i="5" s="1"/>
  <c r="G72" i="5"/>
  <c r="L72" i="5" s="1"/>
  <c r="G70" i="5"/>
  <c r="L70" i="5" s="1"/>
  <c r="G68" i="5"/>
  <c r="L68" i="5" s="1"/>
  <c r="G66" i="5"/>
  <c r="L66" i="5" s="1"/>
  <c r="G64" i="5"/>
  <c r="L64" i="5" s="1"/>
  <c r="E86" i="5"/>
  <c r="K86" i="5" s="1"/>
  <c r="E84" i="5"/>
  <c r="K84" i="5" s="1"/>
  <c r="E82" i="5"/>
  <c r="K82" i="5" s="1"/>
  <c r="E80" i="5"/>
  <c r="K80" i="5" s="1"/>
  <c r="E78" i="5"/>
  <c r="K78" i="5" s="1"/>
  <c r="E76" i="5"/>
  <c r="K76" i="5" s="1"/>
  <c r="E74" i="5"/>
  <c r="K74" i="5" s="1"/>
  <c r="E72" i="5"/>
  <c r="K72" i="5" s="1"/>
  <c r="E70" i="5"/>
  <c r="K70" i="5" s="1"/>
  <c r="E68" i="5"/>
  <c r="K68" i="5" s="1"/>
  <c r="E66" i="5"/>
  <c r="K66" i="5" s="1"/>
  <c r="E64" i="5"/>
  <c r="K64" i="5" s="1"/>
  <c r="C86" i="5"/>
  <c r="J86" i="5" s="1"/>
  <c r="C84" i="5"/>
  <c r="J84" i="5" s="1"/>
  <c r="C82" i="5"/>
  <c r="J82" i="5" s="1"/>
  <c r="C80" i="5"/>
  <c r="J80" i="5" s="1"/>
  <c r="C78" i="5"/>
  <c r="J78" i="5" s="1"/>
  <c r="C76" i="5"/>
  <c r="J76" i="5" s="1"/>
  <c r="C74" i="5"/>
  <c r="J74" i="5" s="1"/>
  <c r="C72" i="5"/>
  <c r="J72" i="5" s="1"/>
  <c r="C70" i="5"/>
  <c r="J70" i="5" s="1"/>
  <c r="C68" i="5"/>
  <c r="J68" i="5" s="1"/>
  <c r="C66" i="5"/>
  <c r="J66" i="5" s="1"/>
  <c r="C64" i="5"/>
  <c r="J64" i="5" s="1"/>
  <c r="C60" i="5"/>
  <c r="C56" i="5"/>
  <c r="K49" i="5"/>
  <c r="K47" i="5"/>
  <c r="K45" i="5"/>
  <c r="K43" i="5"/>
  <c r="K41" i="5"/>
  <c r="K39" i="5"/>
  <c r="J51" i="5"/>
  <c r="J49" i="5"/>
  <c r="J47" i="5"/>
  <c r="J45" i="5"/>
  <c r="J43" i="5"/>
  <c r="J41" i="5"/>
  <c r="J39" i="5"/>
  <c r="C21" i="5"/>
  <c r="J21" i="5" s="1"/>
  <c r="C23" i="5"/>
  <c r="J23" i="5" s="1"/>
  <c r="C25" i="5"/>
  <c r="J25" i="5" s="1"/>
  <c r="C27" i="5"/>
  <c r="J27" i="5" s="1"/>
  <c r="C29" i="5"/>
  <c r="J29" i="5" s="1"/>
  <c r="C19" i="5"/>
  <c r="J19" i="5" s="1"/>
  <c r="J17" i="5" l="1"/>
  <c r="M17" i="5" s="1"/>
  <c r="J17" i="7"/>
  <c r="M17" i="7" s="1"/>
  <c r="J90" i="7"/>
  <c r="J280" i="5"/>
  <c r="M280" i="5" s="1"/>
  <c r="J280" i="7"/>
  <c r="M280" i="7" s="1"/>
  <c r="J324" i="5"/>
  <c r="M324" i="5" s="1"/>
  <c r="J324" i="7"/>
  <c r="M324" i="7" s="1"/>
  <c r="J176" i="5"/>
  <c r="M176" i="5" s="1"/>
  <c r="J176" i="7"/>
  <c r="M176" i="7" s="1"/>
  <c r="J35" i="5"/>
  <c r="M35" i="5" s="1"/>
  <c r="J35" i="7"/>
  <c r="M35" i="7" s="1"/>
  <c r="J112" i="7"/>
  <c r="J142" i="5"/>
  <c r="J142" i="7"/>
  <c r="J112" i="5"/>
  <c r="J90" i="5"/>
  <c r="J60" i="7"/>
  <c r="J60" i="5"/>
  <c r="J214" i="5"/>
  <c r="M214" i="5" s="1"/>
  <c r="J214" i="7"/>
  <c r="M214" i="7" s="1"/>
  <c r="J290" i="5"/>
  <c r="M290" i="5" s="1"/>
  <c r="J290" i="7"/>
  <c r="M290" i="7" s="1"/>
  <c r="J56" i="7" l="1"/>
  <c r="M56" i="7" s="1"/>
  <c r="M1" i="7" s="1"/>
  <c r="D5" i="7" s="1"/>
  <c r="J56" i="5"/>
  <c r="M56" i="5" s="1"/>
  <c r="M1" i="5" s="1"/>
  <c r="D5" i="5" s="1"/>
  <c r="E55" i="8"/>
  <c r="E145" i="8"/>
  <c r="E445" i="8"/>
  <c r="E328" i="8"/>
  <c r="E48" i="8"/>
  <c r="E163" i="8"/>
  <c r="E396" i="8"/>
  <c r="E475" i="8"/>
  <c r="E414" i="8"/>
  <c r="E152" i="8"/>
  <c r="E184" i="8"/>
  <c r="E32" i="8"/>
  <c r="E160" i="8"/>
  <c r="E446" i="8"/>
  <c r="E28" i="8"/>
  <c r="E161" i="8"/>
  <c r="E164" i="8"/>
  <c r="E289" i="8"/>
  <c r="E154" i="8"/>
  <c r="E249" i="8"/>
  <c r="E150" i="8"/>
  <c r="E401" i="8"/>
  <c r="E358" i="8"/>
  <c r="E303" i="8"/>
  <c r="E346" i="8"/>
  <c r="E156" i="8"/>
  <c r="E172" i="8"/>
  <c r="E384" i="8"/>
  <c r="E144" i="8"/>
  <c r="E201" i="8"/>
  <c r="E433" i="8"/>
  <c r="E125" i="8"/>
  <c r="E460" i="8"/>
  <c r="E400" i="8"/>
  <c r="E122" i="8"/>
  <c r="E44" i="8"/>
  <c r="E255" i="8"/>
  <c r="E484" i="8"/>
  <c r="E464" i="8"/>
  <c r="E226" i="8"/>
  <c r="E157" i="8"/>
  <c r="E100" i="8"/>
  <c r="E351" i="8"/>
  <c r="E486" i="8"/>
  <c r="E159" i="8"/>
  <c r="E292" i="8"/>
  <c r="E129" i="8"/>
  <c r="E142" i="8"/>
  <c r="E381" i="8"/>
  <c r="E257" i="8"/>
  <c r="E206" i="8"/>
  <c r="E372" i="8"/>
  <c r="E326" i="8"/>
  <c r="E458" i="8"/>
  <c r="E235" i="8"/>
  <c r="E90" i="8"/>
  <c r="E425" i="8"/>
  <c r="E58" i="8"/>
  <c r="E291" i="8"/>
  <c r="E342" i="8"/>
  <c r="E10" i="8"/>
  <c r="E196" i="8"/>
  <c r="E187" i="8"/>
  <c r="E141" i="8"/>
  <c r="E343" i="8"/>
  <c r="E214" i="8"/>
  <c r="E123" i="8"/>
  <c r="E356" i="8"/>
  <c r="E35" i="8"/>
  <c r="E283" i="8"/>
  <c r="E27" i="8"/>
  <c r="E169" i="8"/>
  <c r="E52" i="8"/>
  <c r="E331" i="8"/>
  <c r="E98" i="8"/>
  <c r="E298" i="8"/>
  <c r="E217" i="8"/>
  <c r="E127" i="8"/>
  <c r="E171" i="8"/>
  <c r="E290" i="8"/>
  <c r="E341" i="8"/>
  <c r="E471" i="8"/>
  <c r="E451" i="8"/>
  <c r="E101" i="8"/>
  <c r="E461" i="8"/>
  <c r="E34" i="8"/>
  <c r="E99" i="8"/>
  <c r="E252" i="8"/>
  <c r="E368" i="8"/>
  <c r="E240" i="8"/>
  <c r="E329" i="8"/>
  <c r="E194" i="8"/>
  <c r="E430" i="8"/>
  <c r="E469" i="8"/>
  <c r="E436" i="8"/>
  <c r="E212" i="8"/>
  <c r="E74" i="8"/>
  <c r="E305" i="8"/>
  <c r="E239" i="8"/>
  <c r="E402" i="8"/>
  <c r="E268" i="8"/>
  <c r="E180" i="8"/>
  <c r="E418" i="8"/>
  <c r="E448" i="8"/>
  <c r="E340" i="8"/>
  <c r="E140" i="8"/>
  <c r="E149" i="8"/>
  <c r="E30" i="8"/>
  <c r="E411" i="8"/>
  <c r="E416" i="8"/>
  <c r="E412" i="8"/>
  <c r="E383" i="8"/>
  <c r="E487" i="8"/>
  <c r="E423" i="8"/>
  <c r="E23" i="8"/>
  <c r="E203" i="8"/>
  <c r="E308" i="8"/>
  <c r="E489" i="8"/>
  <c r="E188" i="8"/>
  <c r="E230" i="8"/>
  <c r="E40" i="8"/>
  <c r="E468" i="8"/>
  <c r="E355" i="8"/>
  <c r="E38" i="8"/>
  <c r="E128" i="8"/>
  <c r="E50" i="8"/>
  <c r="E219" i="8"/>
  <c r="E419" i="8"/>
  <c r="E307" i="8"/>
  <c r="E483" i="8"/>
  <c r="E482" i="8"/>
  <c r="E394" i="8"/>
  <c r="E327" i="8"/>
  <c r="E275" i="8"/>
  <c r="E228" i="8"/>
  <c r="E167" i="8"/>
  <c r="E102" i="8"/>
  <c r="E449" i="8"/>
  <c r="E324" i="8"/>
  <c r="E288" i="8"/>
  <c r="E284" i="8"/>
  <c r="E223" i="8"/>
  <c r="E73" i="8"/>
  <c r="E330" i="8"/>
  <c r="E210" i="8"/>
  <c r="E417" i="8"/>
  <c r="E269" i="8"/>
  <c r="E466" i="8"/>
  <c r="E124" i="8"/>
  <c r="E59" i="8"/>
  <c r="E193" i="8"/>
  <c r="E456" i="8"/>
  <c r="E473" i="8"/>
  <c r="E61" i="8"/>
  <c r="E345" i="8"/>
  <c r="E116" i="8"/>
  <c r="E455" i="8"/>
  <c r="E266" i="8"/>
  <c r="E112" i="8"/>
  <c r="E96" i="8"/>
  <c r="E16" i="8"/>
  <c r="E37" i="8"/>
  <c r="E462" i="8"/>
  <c r="E200" i="8"/>
  <c r="E323" i="8"/>
  <c r="E398" i="8"/>
  <c r="E75" i="8"/>
  <c r="E428" i="8"/>
  <c r="E437" i="8"/>
  <c r="E211" i="8"/>
  <c r="E162" i="8"/>
  <c r="E321" i="8"/>
  <c r="E176" i="8"/>
  <c r="E421" i="8"/>
  <c r="E312" i="8"/>
  <c r="E238" i="8"/>
  <c r="E365" i="8"/>
  <c r="E76" i="8"/>
  <c r="E17" i="8"/>
  <c r="E393" i="8"/>
  <c r="E387" i="8"/>
  <c r="E380" i="8"/>
  <c r="E293" i="8"/>
  <c r="E65" i="8"/>
  <c r="E178" i="8"/>
  <c r="E33" i="8"/>
  <c r="E493" i="8"/>
  <c r="E488" i="8"/>
  <c r="E406" i="8"/>
  <c r="E491" i="8"/>
  <c r="E452" i="8"/>
  <c r="E362" i="8"/>
  <c r="E390" i="8"/>
  <c r="E432" i="8"/>
  <c r="E258" i="8"/>
  <c r="E175" i="8"/>
  <c r="E352" i="8"/>
  <c r="E165" i="8"/>
  <c r="E439" i="8"/>
  <c r="E465" i="8"/>
  <c r="E286" i="8"/>
  <c r="E106" i="8"/>
  <c r="E202" i="8"/>
  <c r="E53" i="8"/>
  <c r="E317" i="8"/>
  <c r="E311" i="8"/>
  <c r="E29" i="8"/>
  <c r="E260" i="8"/>
  <c r="E335" i="8"/>
  <c r="E444" i="8"/>
  <c r="E60" i="8"/>
  <c r="E233" i="8"/>
  <c r="E273" i="8"/>
  <c r="E376" i="8"/>
  <c r="E63" i="8"/>
  <c r="E21" i="8"/>
  <c r="E36" i="8"/>
  <c r="E174" i="8"/>
  <c r="E146" i="8"/>
  <c r="E300" i="8"/>
  <c r="E192" i="8"/>
  <c r="E39" i="8"/>
  <c r="E301" i="8"/>
  <c r="E62" i="8"/>
  <c r="E78" i="8"/>
  <c r="E15" i="8"/>
  <c r="E177" i="8"/>
  <c r="E92" i="8"/>
  <c r="E26" i="8"/>
  <c r="E215" i="8"/>
  <c r="E68" i="8"/>
  <c r="E24" i="8"/>
  <c r="E67" i="8"/>
  <c r="E45" i="8"/>
  <c r="E204" i="8"/>
  <c r="E287" i="8"/>
  <c r="E261" i="8"/>
  <c r="E415" i="8"/>
  <c r="E46" i="8"/>
  <c r="E495" i="8"/>
  <c r="E363" i="8"/>
  <c r="E179" i="8"/>
  <c r="E322" i="8"/>
  <c r="E18" i="8"/>
  <c r="E361" i="8"/>
  <c r="E408" i="8"/>
  <c r="E241" i="8"/>
  <c r="E244" i="8"/>
  <c r="E69" i="8"/>
  <c r="E137" i="8"/>
  <c r="E485" i="8"/>
  <c r="E209" i="8"/>
  <c r="E41" i="8"/>
  <c r="E186" i="8"/>
  <c r="E208" i="8"/>
  <c r="E450" i="8"/>
  <c r="E77" i="8"/>
  <c r="E404" i="8"/>
  <c r="E429" i="8"/>
  <c r="E309" i="8"/>
  <c r="E147" i="8"/>
  <c r="E385" i="8"/>
  <c r="E222" i="8"/>
  <c r="E42" i="8"/>
  <c r="E9" i="8"/>
  <c r="E95" i="8"/>
  <c r="E195" i="8"/>
  <c r="E83" i="8"/>
  <c r="E470" i="8"/>
  <c r="E413" i="8"/>
  <c r="E478" i="8"/>
  <c r="E104" i="8"/>
  <c r="E148" i="8"/>
  <c r="E302" i="8"/>
  <c r="E277" i="8"/>
  <c r="E43" i="8"/>
  <c r="E267" i="8"/>
  <c r="E71" i="8"/>
  <c r="E110" i="8"/>
  <c r="E427" i="8"/>
  <c r="E64" i="8"/>
  <c r="E442" i="8"/>
  <c r="E272" i="8"/>
  <c r="E57" i="8"/>
  <c r="E379" i="8"/>
  <c r="E138" i="8"/>
  <c r="E70" i="8"/>
  <c r="E389" i="8"/>
  <c r="E183" i="8"/>
  <c r="E109" i="8"/>
  <c r="E357" i="8"/>
  <c r="E397" i="8"/>
  <c r="E155" i="8"/>
  <c r="E285" i="8"/>
  <c r="E477" i="8"/>
  <c r="E181" i="8"/>
  <c r="E136" i="8"/>
  <c r="E143" i="8"/>
  <c r="E234" i="8"/>
  <c r="E494" i="8"/>
  <c r="E139" i="8"/>
  <c r="E369" i="8"/>
  <c r="E490" i="8"/>
  <c r="E237" i="8"/>
  <c r="E405" i="8"/>
  <c r="E332" i="8"/>
  <c r="E20" i="8"/>
  <c r="E207" i="8"/>
  <c r="E359" i="8"/>
  <c r="E279" i="8"/>
  <c r="E111" i="8"/>
  <c r="E126" i="8"/>
  <c r="E133" i="8"/>
  <c r="E118" i="8"/>
  <c r="E250" i="8"/>
  <c r="E440" i="8"/>
  <c r="E66" i="8"/>
  <c r="E391" i="8"/>
  <c r="E85" i="8"/>
  <c r="E72" i="8"/>
  <c r="E185" i="8"/>
  <c r="E386" i="8"/>
  <c r="E119" i="8"/>
  <c r="E132" i="8"/>
  <c r="E296" i="8"/>
  <c r="E282" i="8"/>
  <c r="E218" i="8"/>
  <c r="E197" i="8"/>
  <c r="E371" i="8"/>
  <c r="E334" i="8"/>
  <c r="E434" i="8"/>
  <c r="E243" i="8"/>
  <c r="E443" i="8"/>
  <c r="E271" i="8"/>
  <c r="E105" i="8"/>
  <c r="E472" i="8"/>
  <c r="E481" i="8"/>
  <c r="E374" i="8"/>
  <c r="E117" i="8"/>
  <c r="E375" i="8"/>
  <c r="E130" i="8"/>
  <c r="E441" i="8"/>
  <c r="E227" i="8"/>
  <c r="E403" i="8"/>
  <c r="E151" i="8"/>
  <c r="E25" i="8"/>
  <c r="E431" i="8"/>
  <c r="E336" i="8"/>
  <c r="E315" i="8"/>
  <c r="E366" i="8"/>
  <c r="E47" i="8"/>
  <c r="E467" i="8"/>
  <c r="E262" i="8"/>
  <c r="E304" i="8"/>
  <c r="E492" i="8"/>
  <c r="E373" i="8"/>
  <c r="E295" i="8"/>
  <c r="E31" i="8"/>
  <c r="E265" i="8"/>
  <c r="E479" i="8"/>
  <c r="E259" i="8"/>
  <c r="E319" i="8"/>
  <c r="E114" i="8"/>
  <c r="E91" i="8"/>
  <c r="E182" i="8"/>
  <c r="E438" i="8"/>
  <c r="E221" i="8"/>
  <c r="E459" i="8"/>
  <c r="E270" i="8"/>
  <c r="E12" i="8"/>
  <c r="E316" i="8"/>
  <c r="E454" i="8"/>
  <c r="E113" i="8"/>
  <c r="E453" i="8"/>
  <c r="E22" i="8"/>
  <c r="E251" i="8"/>
  <c r="E367" i="8"/>
  <c r="E19" i="8"/>
  <c r="E89" i="8"/>
  <c r="E399" i="8"/>
  <c r="E51" i="8"/>
  <c r="E225" i="8"/>
  <c r="E134" i="8"/>
  <c r="E476" i="8"/>
  <c r="E166" i="8"/>
  <c r="E447" i="8"/>
  <c r="E382" i="8"/>
  <c r="E338" i="8"/>
  <c r="E325" i="8"/>
  <c r="E84" i="8"/>
  <c r="E248" i="8"/>
  <c r="E310" i="8"/>
  <c r="E344" i="8"/>
  <c r="E254" i="8"/>
  <c r="E474" i="8"/>
  <c r="E422" i="8"/>
  <c r="E424" i="8"/>
  <c r="E354" i="8"/>
  <c r="E247" i="8"/>
  <c r="E88" i="8"/>
  <c r="E224" i="8"/>
  <c r="E198" i="8"/>
  <c r="E377" i="8"/>
  <c r="E120" i="8"/>
  <c r="E410" i="8"/>
  <c r="E339" i="8"/>
  <c r="E190" i="8"/>
  <c r="E274" i="8"/>
  <c r="E337" i="8"/>
  <c r="E216" i="8"/>
  <c r="E54" i="8"/>
  <c r="E107" i="8"/>
  <c r="E135" i="8"/>
  <c r="E49" i="8"/>
  <c r="E82" i="8"/>
  <c r="E294" i="8"/>
  <c r="E242" i="8"/>
  <c r="E253" i="8"/>
  <c r="E93" i="8"/>
  <c r="E97" i="8"/>
  <c r="E333" i="8"/>
  <c r="E173" i="8"/>
  <c r="E297" i="8"/>
  <c r="E108" i="8"/>
  <c r="E220" i="8"/>
  <c r="E426" i="8"/>
  <c r="E409" i="8"/>
  <c r="E280" i="8"/>
  <c r="E213" i="8"/>
  <c r="E191" i="8"/>
  <c r="E349" i="8"/>
  <c r="E103" i="8"/>
  <c r="E264" i="8"/>
  <c r="E189" i="8"/>
  <c r="E278" i="8"/>
  <c r="E205" i="8"/>
  <c r="E94" i="8"/>
  <c r="E299" i="8"/>
  <c r="E314" i="8"/>
  <c r="E407" i="8"/>
  <c r="E231" i="8"/>
  <c r="E87" i="8"/>
  <c r="E281" i="8"/>
  <c r="E256" i="8"/>
  <c r="E81" i="8"/>
  <c r="E121" i="8"/>
  <c r="E79" i="8"/>
  <c r="E388" i="8"/>
  <c r="E245" i="8"/>
  <c r="E158" i="8"/>
  <c r="E395" i="8"/>
  <c r="E350" i="8"/>
  <c r="E11" i="8"/>
  <c r="E364" i="8"/>
  <c r="E435" i="8"/>
  <c r="E347" i="8"/>
  <c r="E480" i="8"/>
  <c r="E246" i="8"/>
  <c r="E80" i="8"/>
  <c r="E232" i="8"/>
  <c r="E153" i="8"/>
  <c r="E168" i="8"/>
  <c r="E199" i="8"/>
  <c r="E370" i="8"/>
  <c r="E392" i="8"/>
  <c r="E13" i="8"/>
  <c r="E263" i="8"/>
  <c r="E313" i="8"/>
  <c r="E131" i="8"/>
  <c r="E14" i="8"/>
  <c r="E320" i="8"/>
  <c r="E348" i="8"/>
  <c r="E318" i="8"/>
  <c r="E420" i="8"/>
  <c r="E170" i="8"/>
  <c r="E56" i="8"/>
  <c r="E353" i="8"/>
  <c r="E115" i="8"/>
  <c r="E236" i="8"/>
  <c r="E378" i="8"/>
  <c r="E8" i="8"/>
  <c r="E457" i="8"/>
  <c r="E360" i="8"/>
  <c r="E276" i="8"/>
  <c r="E229" i="8"/>
  <c r="E306" i="8"/>
  <c r="E463" i="8"/>
  <c r="E86" i="8"/>
  <c r="U86" i="8" l="1"/>
  <c r="U463" i="8"/>
  <c r="U306" i="8"/>
  <c r="U229" i="8"/>
  <c r="U276" i="8"/>
  <c r="U360" i="8"/>
  <c r="U457" i="8"/>
  <c r="U8" i="8"/>
  <c r="U378" i="8"/>
  <c r="U236" i="8"/>
  <c r="U115" i="8"/>
  <c r="U353" i="8"/>
  <c r="U56" i="8"/>
  <c r="U170" i="8"/>
  <c r="U420" i="8"/>
  <c r="U318" i="8"/>
  <c r="U348" i="8"/>
  <c r="U320" i="8"/>
  <c r="U14" i="8"/>
  <c r="U131" i="8"/>
  <c r="U313" i="8"/>
  <c r="U263" i="8"/>
  <c r="U13" i="8"/>
  <c r="U392" i="8"/>
  <c r="U370" i="8"/>
  <c r="U199" i="8"/>
  <c r="U168" i="8"/>
  <c r="U153" i="8"/>
  <c r="U232" i="8"/>
  <c r="U80" i="8"/>
  <c r="U246" i="8"/>
  <c r="U480" i="8"/>
  <c r="U347" i="8"/>
  <c r="U435" i="8"/>
  <c r="U364" i="8"/>
  <c r="U11" i="8"/>
  <c r="U350" i="8"/>
  <c r="U395" i="8"/>
  <c r="U158" i="8"/>
  <c r="U245" i="8"/>
  <c r="U388" i="8"/>
  <c r="U79" i="8"/>
  <c r="U121" i="8"/>
  <c r="U81" i="8"/>
  <c r="U256" i="8"/>
  <c r="U281" i="8"/>
  <c r="U87" i="8"/>
  <c r="U231" i="8"/>
  <c r="U407" i="8"/>
  <c r="U314" i="8"/>
  <c r="U299" i="8"/>
  <c r="U94" i="8"/>
  <c r="U205" i="8"/>
  <c r="U278" i="8"/>
  <c r="U189" i="8"/>
  <c r="U264" i="8"/>
  <c r="U103" i="8"/>
  <c r="U349" i="8"/>
  <c r="U191" i="8"/>
  <c r="U213" i="8"/>
  <c r="U280" i="8"/>
  <c r="U409" i="8"/>
  <c r="U426" i="8"/>
  <c r="U220" i="8"/>
  <c r="U108" i="8"/>
  <c r="U297" i="8"/>
  <c r="U173" i="8"/>
  <c r="U333" i="8"/>
  <c r="U97" i="8"/>
  <c r="U93" i="8"/>
  <c r="U253" i="8"/>
  <c r="U242" i="8"/>
  <c r="U294" i="8"/>
  <c r="U82" i="8"/>
  <c r="U49" i="8"/>
  <c r="U135" i="8"/>
  <c r="U107" i="8"/>
  <c r="U54" i="8"/>
  <c r="U216" i="8"/>
  <c r="U337" i="8"/>
  <c r="U274" i="8"/>
  <c r="U190" i="8"/>
  <c r="U339" i="8"/>
  <c r="U410" i="8"/>
  <c r="U120" i="8"/>
  <c r="U377" i="8"/>
  <c r="U198" i="8"/>
  <c r="U224" i="8"/>
  <c r="U88" i="8"/>
  <c r="U247" i="8"/>
  <c r="U354" i="8"/>
  <c r="U424" i="8"/>
  <c r="U422" i="8"/>
  <c r="U474" i="8"/>
  <c r="U254" i="8"/>
  <c r="U344" i="8"/>
  <c r="U310" i="8"/>
  <c r="U248" i="8"/>
  <c r="U84" i="8"/>
  <c r="U325" i="8"/>
  <c r="U338" i="8"/>
  <c r="U382" i="8"/>
  <c r="U447" i="8"/>
  <c r="U166" i="8"/>
  <c r="U476" i="8"/>
  <c r="U134" i="8"/>
  <c r="U225" i="8"/>
  <c r="U51" i="8"/>
  <c r="U399" i="8"/>
  <c r="U89" i="8"/>
  <c r="U19" i="8"/>
  <c r="U367" i="8"/>
  <c r="U251" i="8"/>
  <c r="U22" i="8"/>
  <c r="U453" i="8"/>
  <c r="U113" i="8"/>
  <c r="U454" i="8"/>
  <c r="U316" i="8"/>
  <c r="U12" i="8"/>
  <c r="U270" i="8"/>
  <c r="U459" i="8"/>
  <c r="U221" i="8"/>
  <c r="U438" i="8"/>
  <c r="U182" i="8"/>
  <c r="U91" i="8"/>
  <c r="U114" i="8"/>
  <c r="U319" i="8"/>
  <c r="U259" i="8"/>
  <c r="U479" i="8"/>
  <c r="U265" i="8"/>
  <c r="U31" i="8"/>
  <c r="U295" i="8"/>
  <c r="U373" i="8"/>
  <c r="U492" i="8"/>
  <c r="U304" i="8"/>
  <c r="U262" i="8"/>
  <c r="U467" i="8"/>
  <c r="U47" i="8"/>
  <c r="U366" i="8"/>
  <c r="U315" i="8"/>
  <c r="U336" i="8"/>
  <c r="U431" i="8"/>
  <c r="U25" i="8"/>
  <c r="U151" i="8"/>
  <c r="U403" i="8"/>
  <c r="U227" i="8"/>
  <c r="U441" i="8"/>
  <c r="U130" i="8"/>
  <c r="U375" i="8"/>
  <c r="U117" i="8"/>
  <c r="U374" i="8"/>
  <c r="U481" i="8"/>
  <c r="U472" i="8"/>
  <c r="U105" i="8"/>
  <c r="U271" i="8"/>
  <c r="U443" i="8"/>
  <c r="U243" i="8"/>
  <c r="U434" i="8"/>
  <c r="U334" i="8"/>
  <c r="U371" i="8"/>
  <c r="U197" i="8"/>
  <c r="U218" i="8"/>
  <c r="U282" i="8"/>
  <c r="U296" i="8"/>
  <c r="U132" i="8"/>
  <c r="U119" i="8"/>
  <c r="U386" i="8"/>
  <c r="U185" i="8"/>
  <c r="U72" i="8"/>
  <c r="U85" i="8"/>
  <c r="U391" i="8"/>
  <c r="U66" i="8"/>
  <c r="U440" i="8"/>
  <c r="U250" i="8"/>
  <c r="U118" i="8"/>
  <c r="U133" i="8"/>
  <c r="U126" i="8"/>
  <c r="U111" i="8"/>
  <c r="U279" i="8"/>
  <c r="U359" i="8"/>
  <c r="U207" i="8"/>
  <c r="U20" i="8"/>
  <c r="U332" i="8"/>
  <c r="U405" i="8"/>
  <c r="U237" i="8"/>
  <c r="U490" i="8"/>
  <c r="U369" i="8"/>
  <c r="U139" i="8"/>
  <c r="U494" i="8"/>
  <c r="U234" i="8"/>
  <c r="U143" i="8"/>
  <c r="U136" i="8"/>
  <c r="U181" i="8"/>
  <c r="U477" i="8"/>
  <c r="U285" i="8"/>
  <c r="U155" i="8"/>
  <c r="U397" i="8"/>
  <c r="U357" i="8"/>
  <c r="U109" i="8"/>
  <c r="U183" i="8"/>
  <c r="U389" i="8"/>
  <c r="U70" i="8"/>
  <c r="U138" i="8"/>
  <c r="U379" i="8"/>
  <c r="U57" i="8"/>
  <c r="U272" i="8"/>
  <c r="U442" i="8"/>
  <c r="U64" i="8"/>
  <c r="U427" i="8"/>
  <c r="U110" i="8"/>
  <c r="U71" i="8"/>
  <c r="U267" i="8"/>
  <c r="U43" i="8"/>
  <c r="U277" i="8"/>
  <c r="U302" i="8"/>
  <c r="U148" i="8"/>
  <c r="U104" i="8"/>
  <c r="U478" i="8"/>
  <c r="U413" i="8"/>
  <c r="U470" i="8"/>
  <c r="U83" i="8"/>
  <c r="U195" i="8"/>
  <c r="U95" i="8"/>
  <c r="U9" i="8"/>
  <c r="U42" i="8"/>
  <c r="U222" i="8"/>
  <c r="U385" i="8"/>
  <c r="U147" i="8"/>
  <c r="U309" i="8"/>
  <c r="U429" i="8"/>
  <c r="U404" i="8"/>
  <c r="U77" i="8"/>
  <c r="U450" i="8"/>
  <c r="U208" i="8"/>
  <c r="U186" i="8"/>
  <c r="U41" i="8"/>
  <c r="U209" i="8"/>
  <c r="U485" i="8"/>
  <c r="U137" i="8"/>
  <c r="U69" i="8"/>
  <c r="U244" i="8"/>
  <c r="U241" i="8"/>
  <c r="U408" i="8"/>
  <c r="U361" i="8"/>
  <c r="U18" i="8"/>
  <c r="U322" i="8"/>
  <c r="U179" i="8"/>
  <c r="U363" i="8"/>
  <c r="U495" i="8"/>
  <c r="U46" i="8"/>
  <c r="U415" i="8"/>
  <c r="U261" i="8"/>
  <c r="U287" i="8"/>
  <c r="U204" i="8"/>
  <c r="U45" i="8"/>
  <c r="U67" i="8"/>
  <c r="U24" i="8"/>
  <c r="U68" i="8"/>
  <c r="U215" i="8"/>
  <c r="U26" i="8"/>
  <c r="U92" i="8"/>
  <c r="U177" i="8"/>
  <c r="U15" i="8"/>
  <c r="U78" i="8"/>
  <c r="U62" i="8"/>
  <c r="U301" i="8"/>
  <c r="U39" i="8"/>
  <c r="U192" i="8"/>
  <c r="U300" i="8"/>
  <c r="U146" i="8"/>
  <c r="U174" i="8"/>
  <c r="U36" i="8"/>
  <c r="U21" i="8"/>
  <c r="U63" i="8"/>
  <c r="U376" i="8"/>
  <c r="U273" i="8"/>
  <c r="U233" i="8"/>
  <c r="U60" i="8"/>
  <c r="U444" i="8"/>
  <c r="U335" i="8"/>
  <c r="U260" i="8"/>
  <c r="U29" i="8"/>
  <c r="U311" i="8"/>
  <c r="U317" i="8"/>
  <c r="U53" i="8"/>
  <c r="U202" i="8"/>
  <c r="U106" i="8"/>
  <c r="U286" i="8"/>
  <c r="U465" i="8"/>
  <c r="U439" i="8"/>
  <c r="U165" i="8"/>
  <c r="U352" i="8"/>
  <c r="U175" i="8"/>
  <c r="U258" i="8"/>
  <c r="U432" i="8"/>
  <c r="U390" i="8"/>
  <c r="U362" i="8"/>
  <c r="U452" i="8"/>
  <c r="U491" i="8"/>
  <c r="U406" i="8"/>
  <c r="U488" i="8"/>
  <c r="U493" i="8"/>
  <c r="U33" i="8"/>
  <c r="U178" i="8"/>
  <c r="U65" i="8"/>
  <c r="U293" i="8"/>
  <c r="U380" i="8"/>
  <c r="U387" i="8"/>
  <c r="U393" i="8"/>
  <c r="U17" i="8"/>
  <c r="U76" i="8"/>
  <c r="U365" i="8"/>
  <c r="U238" i="8"/>
  <c r="U312" i="8"/>
  <c r="U421" i="8"/>
  <c r="U176" i="8"/>
  <c r="U321" i="8"/>
  <c r="U162" i="8"/>
  <c r="U211" i="8"/>
  <c r="U437" i="8"/>
  <c r="U428" i="8"/>
  <c r="U75" i="8"/>
  <c r="U398" i="8"/>
  <c r="U323" i="8"/>
  <c r="U200" i="8"/>
  <c r="U462" i="8"/>
  <c r="U37" i="8"/>
  <c r="U16" i="8"/>
  <c r="U96" i="8"/>
  <c r="U112" i="8"/>
  <c r="U266" i="8"/>
  <c r="U455" i="8"/>
  <c r="U116" i="8"/>
  <c r="U345" i="8"/>
  <c r="U61" i="8"/>
  <c r="U473" i="8"/>
  <c r="U456" i="8"/>
  <c r="U193" i="8"/>
  <c r="U59" i="8"/>
  <c r="U124" i="8"/>
  <c r="U466" i="8"/>
  <c r="U269" i="8"/>
  <c r="U417" i="8"/>
  <c r="U210" i="8"/>
  <c r="U330" i="8"/>
  <c r="U73" i="8"/>
  <c r="U223" i="8"/>
  <c r="U284" i="8"/>
  <c r="U288" i="8"/>
  <c r="U324" i="8"/>
  <c r="U449" i="8"/>
  <c r="U102" i="8"/>
  <c r="U167" i="8"/>
  <c r="U228" i="8"/>
  <c r="U275" i="8"/>
  <c r="U327" i="8"/>
  <c r="U394" i="8"/>
  <c r="U482" i="8"/>
  <c r="U483" i="8"/>
  <c r="U307" i="8"/>
  <c r="U419" i="8"/>
  <c r="U219" i="8"/>
  <c r="U50" i="8"/>
  <c r="U128" i="8"/>
  <c r="U38" i="8"/>
  <c r="U355" i="8"/>
  <c r="U468" i="8"/>
  <c r="U40" i="8"/>
  <c r="U230" i="8"/>
  <c r="U188" i="8"/>
  <c r="U489" i="8"/>
  <c r="U308" i="8"/>
  <c r="U203" i="8"/>
  <c r="U23" i="8"/>
  <c r="U423" i="8"/>
  <c r="U487" i="8"/>
  <c r="U383" i="8"/>
  <c r="U412" i="8"/>
  <c r="U416" i="8"/>
  <c r="U411" i="8"/>
  <c r="U30" i="8"/>
  <c r="U149" i="8"/>
  <c r="U140" i="8"/>
  <c r="U340" i="8"/>
  <c r="U448" i="8"/>
  <c r="U418" i="8"/>
  <c r="U180" i="8"/>
  <c r="U268" i="8"/>
  <c r="U402" i="8"/>
  <c r="U239" i="8"/>
  <c r="U305" i="8"/>
  <c r="U74" i="8"/>
  <c r="U212" i="8"/>
  <c r="U436" i="8"/>
  <c r="U469" i="8"/>
  <c r="U430" i="8"/>
  <c r="U194" i="8"/>
  <c r="U329" i="8"/>
  <c r="U240" i="8"/>
  <c r="U368" i="8"/>
  <c r="U252" i="8"/>
  <c r="U99" i="8"/>
  <c r="U34" i="8"/>
  <c r="U461" i="8"/>
  <c r="U101" i="8"/>
  <c r="U451" i="8"/>
  <c r="U471" i="8"/>
  <c r="U341" i="8"/>
  <c r="U290" i="8"/>
  <c r="U171" i="8"/>
  <c r="U127" i="8"/>
  <c r="U217" i="8"/>
  <c r="U298" i="8"/>
  <c r="U98" i="8"/>
  <c r="U331" i="8"/>
  <c r="U52" i="8"/>
  <c r="U169" i="8"/>
  <c r="U27" i="8"/>
  <c r="U283" i="8"/>
  <c r="U35" i="8"/>
  <c r="U356" i="8"/>
  <c r="U123" i="8"/>
  <c r="U214" i="8"/>
  <c r="U343" i="8"/>
  <c r="U141" i="8"/>
  <c r="U187" i="8"/>
  <c r="U196" i="8"/>
  <c r="U10" i="8"/>
  <c r="U342" i="8"/>
  <c r="U291" i="8"/>
  <c r="U58" i="8"/>
  <c r="U425" i="8"/>
  <c r="U90" i="8"/>
  <c r="U235" i="8"/>
  <c r="U458" i="8"/>
  <c r="U326" i="8"/>
  <c r="U372" i="8"/>
  <c r="U206" i="8"/>
  <c r="U257" i="8"/>
  <c r="U381" i="8"/>
  <c r="U142" i="8"/>
  <c r="U129" i="8"/>
  <c r="U292" i="8"/>
  <c r="U159" i="8"/>
  <c r="U486" i="8"/>
  <c r="U351" i="8"/>
  <c r="U100" i="8"/>
  <c r="U157" i="8"/>
  <c r="U226" i="8"/>
  <c r="U464" i="8"/>
  <c r="U484" i="8"/>
  <c r="U255" i="8"/>
  <c r="U44" i="8"/>
  <c r="U122" i="8"/>
  <c r="U400" i="8"/>
  <c r="U460" i="8"/>
  <c r="U125" i="8"/>
  <c r="U433" i="8"/>
  <c r="U201" i="8"/>
  <c r="U144" i="8"/>
  <c r="U384" i="8"/>
  <c r="U172" i="8"/>
  <c r="U156" i="8"/>
  <c r="U346" i="8"/>
  <c r="U303" i="8"/>
  <c r="U358" i="8"/>
  <c r="U401" i="8"/>
  <c r="U150" i="8"/>
  <c r="U249" i="8"/>
  <c r="U154" i="8"/>
  <c r="U289" i="8"/>
  <c r="U164" i="8"/>
  <c r="U161" i="8"/>
  <c r="U28" i="8"/>
  <c r="U446" i="8"/>
  <c r="U160" i="8"/>
  <c r="U32" i="8"/>
  <c r="U184" i="8"/>
  <c r="U152" i="8"/>
  <c r="U414" i="8"/>
  <c r="U475" i="8"/>
  <c r="U396" i="8"/>
  <c r="U163" i="8"/>
  <c r="U48" i="8"/>
  <c r="U328" i="8"/>
  <c r="U445" i="8"/>
  <c r="U145" i="8"/>
  <c r="U55" i="8"/>
  <c r="N463" i="8"/>
  <c r="I229" i="8"/>
  <c r="J276" i="8"/>
  <c r="F457" i="8"/>
  <c r="F236" i="8"/>
  <c r="I353" i="8"/>
  <c r="I56" i="8"/>
  <c r="J420" i="8"/>
  <c r="J320" i="8"/>
  <c r="F131" i="8"/>
  <c r="J313" i="8"/>
  <c r="F13" i="8"/>
  <c r="F370" i="8"/>
  <c r="J232" i="8"/>
  <c r="F246" i="8"/>
  <c r="J347" i="8"/>
  <c r="N435" i="8"/>
  <c r="I11" i="8"/>
  <c r="N350" i="8"/>
  <c r="N158" i="8"/>
  <c r="J79" i="8"/>
  <c r="N81" i="8"/>
  <c r="I256" i="8"/>
  <c r="F87" i="8"/>
  <c r="J314" i="8"/>
  <c r="N94" i="8"/>
  <c r="F205" i="8"/>
  <c r="J189" i="8"/>
  <c r="N103" i="8"/>
  <c r="I349" i="8"/>
  <c r="N213" i="8"/>
  <c r="I280" i="8"/>
  <c r="I426" i="8"/>
  <c r="F297" i="8"/>
  <c r="N333" i="8"/>
  <c r="J97" i="8"/>
  <c r="J253" i="8"/>
  <c r="I82" i="8"/>
  <c r="F135" i="8"/>
  <c r="I107" i="8"/>
  <c r="N216" i="8"/>
  <c r="N190" i="8"/>
  <c r="F410" i="8"/>
  <c r="N120" i="8"/>
  <c r="F198" i="8"/>
  <c r="J247" i="8"/>
  <c r="I422" i="8"/>
  <c r="N310" i="8"/>
  <c r="N248" i="8"/>
  <c r="I338" i="8"/>
  <c r="J447" i="8"/>
  <c r="I134" i="8"/>
  <c r="F51" i="8"/>
  <c r="I399" i="8"/>
  <c r="N19" i="8"/>
  <c r="F22" i="8"/>
  <c r="N113" i="8"/>
  <c r="F454" i="8"/>
  <c r="I12" i="8"/>
  <c r="J221" i="8"/>
  <c r="N91" i="8"/>
  <c r="I319" i="8"/>
  <c r="I479" i="8"/>
  <c r="N265" i="8"/>
  <c r="F373" i="8"/>
  <c r="F304" i="8"/>
  <c r="F467" i="8"/>
  <c r="I47" i="8"/>
  <c r="N315" i="8"/>
  <c r="F336" i="8"/>
  <c r="F25" i="8"/>
  <c r="N227" i="8"/>
  <c r="I130" i="8"/>
  <c r="F375" i="8"/>
  <c r="F374" i="8"/>
  <c r="F105" i="8"/>
  <c r="F443" i="8"/>
  <c r="F243" i="8"/>
  <c r="J334" i="8"/>
  <c r="I218" i="8"/>
  <c r="F296" i="8"/>
  <c r="F132" i="8"/>
  <c r="F386" i="8"/>
  <c r="I85" i="8"/>
  <c r="N440" i="8"/>
  <c r="J118" i="8"/>
  <c r="N111" i="8"/>
  <c r="J207" i="8"/>
  <c r="J332" i="8"/>
  <c r="F237" i="8"/>
  <c r="N490" i="8"/>
  <c r="N494" i="8"/>
  <c r="J143" i="8"/>
  <c r="I181" i="8"/>
  <c r="F477" i="8"/>
  <c r="F397" i="8"/>
  <c r="I109" i="8"/>
  <c r="J70" i="8"/>
  <c r="N379" i="8"/>
  <c r="N57" i="8"/>
  <c r="I442" i="8"/>
  <c r="N110" i="8"/>
  <c r="F267" i="8"/>
  <c r="N43" i="8"/>
  <c r="F302" i="8"/>
  <c r="J478" i="8"/>
  <c r="F83" i="8"/>
  <c r="J95" i="8"/>
  <c r="I222" i="8"/>
  <c r="I309" i="8"/>
  <c r="F404" i="8"/>
  <c r="I208" i="8"/>
  <c r="I41" i="8"/>
  <c r="J209" i="8"/>
  <c r="F137" i="8"/>
  <c r="F241" i="8"/>
  <c r="N18" i="8"/>
  <c r="N179" i="8"/>
  <c r="I46" i="8"/>
  <c r="J261" i="8"/>
  <c r="I287" i="8"/>
  <c r="N45" i="8"/>
  <c r="I24" i="8"/>
  <c r="F68" i="8"/>
  <c r="F26" i="8"/>
  <c r="I92" i="8"/>
  <c r="N15" i="8"/>
  <c r="J62" i="8"/>
  <c r="I301" i="8"/>
  <c r="N300" i="8"/>
  <c r="J174" i="8"/>
  <c r="I21" i="8"/>
  <c r="I63" i="8"/>
  <c r="J233" i="8"/>
  <c r="F444" i="8"/>
  <c r="I260" i="8"/>
  <c r="I29" i="8"/>
  <c r="F317" i="8"/>
  <c r="I53" i="8"/>
  <c r="I465" i="8"/>
  <c r="N439" i="8"/>
  <c r="N175" i="8"/>
  <c r="I432" i="8"/>
  <c r="J452" i="8"/>
  <c r="I406" i="8"/>
  <c r="F488" i="8"/>
  <c r="I33" i="8"/>
  <c r="J65" i="8"/>
  <c r="N293" i="8"/>
  <c r="N387" i="8"/>
  <c r="J393" i="8"/>
  <c r="N76" i="8"/>
  <c r="F238" i="8"/>
  <c r="F312" i="8"/>
  <c r="J176" i="8"/>
  <c r="J321" i="8"/>
  <c r="N211" i="8"/>
  <c r="N75" i="8"/>
  <c r="J323" i="8"/>
  <c r="F200" i="8"/>
  <c r="J37" i="8"/>
  <c r="N116" i="8"/>
  <c r="F61" i="8"/>
  <c r="I193" i="8"/>
  <c r="F124" i="8"/>
  <c r="I466" i="8"/>
  <c r="J417" i="8"/>
  <c r="F73" i="8"/>
  <c r="N284" i="8"/>
  <c r="N288" i="8"/>
  <c r="F449" i="8"/>
  <c r="J228" i="8"/>
  <c r="F327" i="8"/>
  <c r="N394" i="8"/>
  <c r="N483" i="8"/>
  <c r="I219" i="8"/>
  <c r="N128" i="8"/>
  <c r="F38" i="8"/>
  <c r="J468" i="8"/>
  <c r="J188" i="8"/>
  <c r="F308" i="8"/>
  <c r="J203" i="8"/>
  <c r="N423" i="8"/>
  <c r="N412" i="8"/>
  <c r="F411" i="8"/>
  <c r="I30" i="8"/>
  <c r="N140" i="8"/>
  <c r="N418" i="8"/>
  <c r="F402" i="8"/>
  <c r="F305" i="8"/>
  <c r="I436" i="8"/>
  <c r="J194" i="8"/>
  <c r="F240" i="8"/>
  <c r="F99" i="8"/>
  <c r="N461" i="8"/>
  <c r="I101" i="8"/>
  <c r="F471" i="8"/>
  <c r="F171" i="8"/>
  <c r="I217" i="8"/>
  <c r="N298" i="8"/>
  <c r="F331" i="8"/>
  <c r="I27" i="8"/>
  <c r="N35" i="8"/>
  <c r="N356" i="8"/>
  <c r="I214" i="8"/>
  <c r="I187" i="8"/>
  <c r="F10" i="8"/>
  <c r="J342" i="8"/>
  <c r="J58" i="8"/>
  <c r="I235" i="8"/>
  <c r="N326" i="8"/>
  <c r="J372" i="8"/>
  <c r="F257" i="8"/>
  <c r="I129" i="8"/>
  <c r="J159" i="8"/>
  <c r="F486" i="8"/>
  <c r="I100" i="8"/>
  <c r="I226" i="8"/>
  <c r="N464" i="8"/>
  <c r="I255" i="8"/>
  <c r="J44" i="8"/>
  <c r="I400" i="8"/>
  <c r="I86" i="8"/>
  <c r="I463" i="8"/>
  <c r="J229" i="8"/>
  <c r="J457" i="8"/>
  <c r="I378" i="8"/>
  <c r="N236" i="8"/>
  <c r="F353" i="8"/>
  <c r="F420" i="8"/>
  <c r="N348" i="8"/>
  <c r="N320" i="8"/>
  <c r="I131" i="8"/>
  <c r="N13" i="8"/>
  <c r="J370" i="8"/>
  <c r="I199" i="8"/>
  <c r="F153" i="8"/>
  <c r="J80" i="8"/>
  <c r="I246" i="8"/>
  <c r="J435" i="8"/>
  <c r="F11" i="8"/>
  <c r="F158" i="8"/>
  <c r="F388" i="8"/>
  <c r="I79" i="8"/>
  <c r="J81" i="8"/>
  <c r="N87" i="8"/>
  <c r="J407" i="8"/>
  <c r="F314" i="8"/>
  <c r="J94" i="8"/>
  <c r="F189" i="8"/>
  <c r="J349" i="8"/>
  <c r="F213" i="8"/>
  <c r="J426" i="8"/>
  <c r="I108" i="8"/>
  <c r="J297" i="8"/>
  <c r="J333" i="8"/>
  <c r="I253" i="8"/>
  <c r="F294" i="8"/>
  <c r="N82" i="8"/>
  <c r="J135" i="8"/>
  <c r="I216" i="8"/>
  <c r="I274" i="8"/>
  <c r="F190" i="8"/>
  <c r="N410" i="8"/>
  <c r="I198" i="8"/>
  <c r="J88" i="8"/>
  <c r="N247" i="8"/>
  <c r="I424" i="8"/>
  <c r="F254" i="8"/>
  <c r="F310" i="8"/>
  <c r="F248" i="8"/>
  <c r="F325" i="8"/>
  <c r="N447" i="8"/>
  <c r="J476" i="8"/>
  <c r="F134" i="8"/>
  <c r="J51" i="8"/>
  <c r="I19" i="8"/>
  <c r="I251" i="8"/>
  <c r="N22" i="8"/>
  <c r="J113" i="8"/>
  <c r="N12" i="8"/>
  <c r="J459" i="8"/>
  <c r="F221" i="8"/>
  <c r="N182" i="8"/>
  <c r="J114" i="8"/>
  <c r="J319" i="8"/>
  <c r="F265" i="8"/>
  <c r="I295" i="8"/>
  <c r="F492" i="8"/>
  <c r="N304" i="8"/>
  <c r="F47" i="8"/>
  <c r="I315" i="8"/>
  <c r="I25" i="8"/>
  <c r="J403" i="8"/>
  <c r="J227" i="8"/>
  <c r="J130" i="8"/>
  <c r="I374" i="8"/>
  <c r="I472" i="8"/>
  <c r="N105" i="8"/>
  <c r="N443" i="8"/>
  <c r="N334" i="8"/>
  <c r="I197" i="8"/>
  <c r="F218" i="8"/>
  <c r="I296" i="8"/>
  <c r="N386" i="8"/>
  <c r="F72" i="8"/>
  <c r="F85" i="8"/>
  <c r="I66" i="8"/>
  <c r="F250" i="8"/>
  <c r="N118" i="8"/>
  <c r="F126" i="8"/>
  <c r="F111" i="8"/>
  <c r="N359" i="8"/>
  <c r="J20" i="8"/>
  <c r="N332" i="8"/>
  <c r="I490" i="8"/>
  <c r="J139" i="8"/>
  <c r="F234" i="8"/>
  <c r="I143" i="8"/>
  <c r="J477" i="8"/>
  <c r="N155" i="8"/>
  <c r="F357" i="8"/>
  <c r="J109" i="8"/>
  <c r="N389" i="8"/>
  <c r="N70" i="8"/>
  <c r="I379" i="8"/>
  <c r="I272" i="8"/>
  <c r="F442" i="8"/>
  <c r="I427" i="8"/>
  <c r="J110" i="8"/>
  <c r="N267" i="8"/>
  <c r="J277" i="8"/>
  <c r="J302" i="8"/>
  <c r="J104" i="8"/>
  <c r="F478" i="8"/>
  <c r="N470" i="8"/>
  <c r="I195" i="8"/>
  <c r="N95" i="8"/>
  <c r="J42" i="8"/>
  <c r="N222" i="8"/>
  <c r="I147" i="8"/>
  <c r="J429" i="8"/>
  <c r="I404" i="8"/>
  <c r="I450" i="8"/>
  <c r="J208" i="8"/>
  <c r="F41" i="8"/>
  <c r="J137" i="8"/>
  <c r="N244" i="8"/>
  <c r="J241" i="8"/>
  <c r="J361" i="8"/>
  <c r="I179" i="8"/>
  <c r="F495" i="8"/>
  <c r="F46" i="8"/>
  <c r="F261" i="8"/>
  <c r="N204" i="8"/>
  <c r="I45" i="8"/>
  <c r="N68" i="8"/>
  <c r="I26" i="8"/>
  <c r="J177" i="8"/>
  <c r="I15" i="8"/>
  <c r="N62" i="8"/>
  <c r="J301" i="8"/>
  <c r="N192" i="8"/>
  <c r="J146" i="8"/>
  <c r="N63" i="8"/>
  <c r="F273" i="8"/>
  <c r="J60" i="8"/>
  <c r="J444" i="8"/>
  <c r="N29" i="8"/>
  <c r="J317" i="8"/>
  <c r="F202" i="8"/>
  <c r="F106" i="8"/>
  <c r="J439" i="8"/>
  <c r="N352" i="8"/>
  <c r="N258" i="8"/>
  <c r="F432" i="8"/>
  <c r="F362" i="8"/>
  <c r="F452" i="8"/>
  <c r="N406" i="8"/>
  <c r="N493" i="8"/>
  <c r="N33" i="8"/>
  <c r="I293" i="8"/>
  <c r="I387" i="8"/>
  <c r="I76" i="8"/>
  <c r="I312" i="8"/>
  <c r="F176" i="8"/>
  <c r="I211" i="8"/>
  <c r="I428" i="8"/>
  <c r="F75" i="8"/>
  <c r="I323" i="8"/>
  <c r="F462" i="8"/>
  <c r="F37" i="8"/>
  <c r="I96" i="8"/>
  <c r="N112" i="8"/>
  <c r="N455" i="8"/>
  <c r="J345" i="8"/>
  <c r="I456" i="8"/>
  <c r="F193" i="8"/>
  <c r="J124" i="8"/>
  <c r="I417" i="8"/>
  <c r="F330" i="8"/>
  <c r="J73" i="8"/>
  <c r="F284" i="8"/>
  <c r="J449" i="8"/>
  <c r="J167" i="8"/>
  <c r="N228" i="8"/>
  <c r="I327" i="8"/>
  <c r="F483" i="8"/>
  <c r="I419" i="8"/>
  <c r="J219" i="8"/>
  <c r="I128" i="8"/>
  <c r="F468" i="8"/>
  <c r="F230" i="8"/>
  <c r="I188" i="8"/>
  <c r="J308" i="8"/>
  <c r="J423" i="8"/>
  <c r="F383" i="8"/>
  <c r="J412" i="8"/>
  <c r="N411" i="8"/>
  <c r="F140" i="8"/>
  <c r="J448" i="8"/>
  <c r="I418" i="8"/>
  <c r="N268" i="8"/>
  <c r="N305" i="8"/>
  <c r="F212" i="8"/>
  <c r="N436" i="8"/>
  <c r="J430" i="8"/>
  <c r="J329" i="8"/>
  <c r="I240" i="8"/>
  <c r="F252" i="8"/>
  <c r="N99" i="8"/>
  <c r="J461" i="8"/>
  <c r="J471" i="8"/>
  <c r="J290" i="8"/>
  <c r="I171" i="8"/>
  <c r="J217" i="8"/>
  <c r="I331" i="8"/>
  <c r="I169" i="8"/>
  <c r="N27" i="8"/>
  <c r="F35" i="8"/>
  <c r="N214" i="8"/>
  <c r="I141" i="8"/>
  <c r="N187" i="8"/>
  <c r="I10" i="8"/>
  <c r="F58" i="8"/>
  <c r="N90" i="8"/>
  <c r="F235" i="8"/>
  <c r="I326" i="8"/>
  <c r="N257" i="8"/>
  <c r="I142" i="8"/>
  <c r="F129" i="8"/>
  <c r="I159" i="8"/>
  <c r="J100" i="8"/>
  <c r="F464" i="8"/>
  <c r="F255" i="8"/>
  <c r="J86" i="8"/>
  <c r="F229" i="8"/>
  <c r="J360" i="8"/>
  <c r="N457" i="8"/>
  <c r="N378" i="8"/>
  <c r="J353" i="8"/>
  <c r="N170" i="8"/>
  <c r="N420" i="8"/>
  <c r="J348" i="8"/>
  <c r="N131" i="8"/>
  <c r="F263" i="8"/>
  <c r="I13" i="8"/>
  <c r="J168" i="8"/>
  <c r="I153" i="8"/>
  <c r="F80" i="8"/>
  <c r="J246" i="8"/>
  <c r="N347" i="8"/>
  <c r="N11" i="8"/>
  <c r="I395" i="8"/>
  <c r="J158" i="8"/>
  <c r="I388" i="8"/>
  <c r="I81" i="8"/>
  <c r="F281" i="8"/>
  <c r="J87" i="8"/>
  <c r="N407" i="8"/>
  <c r="F94" i="8"/>
  <c r="J278" i="8"/>
  <c r="N189" i="8"/>
  <c r="I103" i="8"/>
  <c r="I213" i="8"/>
  <c r="I409" i="8"/>
  <c r="F426" i="8"/>
  <c r="F108" i="8"/>
  <c r="I333" i="8"/>
  <c r="F93" i="8"/>
  <c r="F253" i="8"/>
  <c r="I294" i="8"/>
  <c r="N135" i="8"/>
  <c r="N54" i="8"/>
  <c r="J216" i="8"/>
  <c r="N274" i="8"/>
  <c r="I410" i="8"/>
  <c r="I377" i="8"/>
  <c r="N198" i="8"/>
  <c r="F88" i="8"/>
  <c r="J424" i="8"/>
  <c r="I474" i="8"/>
  <c r="J254" i="8"/>
  <c r="J84" i="8"/>
  <c r="N325" i="8"/>
  <c r="I382" i="8"/>
  <c r="I447" i="8"/>
  <c r="F476" i="8"/>
  <c r="N51" i="8"/>
  <c r="N89" i="8"/>
  <c r="F19" i="8"/>
  <c r="N251" i="8"/>
  <c r="I113" i="8"/>
  <c r="F316" i="8"/>
  <c r="F12" i="8"/>
  <c r="I459" i="8"/>
  <c r="F438" i="8"/>
  <c r="F182" i="8"/>
  <c r="N319" i="8"/>
  <c r="N479" i="8"/>
  <c r="F31" i="8"/>
  <c r="N295" i="8"/>
  <c r="J304" i="8"/>
  <c r="N467" i="8"/>
  <c r="F315" i="8"/>
  <c r="N431" i="8"/>
  <c r="N25" i="8"/>
  <c r="I403" i="8"/>
  <c r="N130" i="8"/>
  <c r="J117" i="8"/>
  <c r="J374" i="8"/>
  <c r="F472" i="8"/>
  <c r="I443" i="8"/>
  <c r="F434" i="8"/>
  <c r="I334" i="8"/>
  <c r="N197" i="8"/>
  <c r="N296" i="8"/>
  <c r="J119" i="8"/>
  <c r="I386" i="8"/>
  <c r="J72" i="8"/>
  <c r="N66" i="8"/>
  <c r="I118" i="8"/>
  <c r="N126" i="8"/>
  <c r="J359" i="8"/>
  <c r="N20" i="8"/>
  <c r="I332" i="8"/>
  <c r="I237" i="8"/>
  <c r="I369" i="8"/>
  <c r="N139" i="8"/>
  <c r="N234" i="8"/>
  <c r="N143" i="8"/>
  <c r="F181" i="8"/>
  <c r="F155" i="8"/>
  <c r="I357" i="8"/>
  <c r="F109" i="8"/>
  <c r="J389" i="8"/>
  <c r="J379" i="8"/>
  <c r="J272" i="8"/>
  <c r="N442" i="8"/>
  <c r="F427" i="8"/>
  <c r="J267" i="8"/>
  <c r="I302" i="8"/>
  <c r="I104" i="8"/>
  <c r="J470" i="8"/>
  <c r="J195" i="8"/>
  <c r="F95" i="8"/>
  <c r="F42" i="8"/>
  <c r="J147" i="8"/>
  <c r="F429" i="8"/>
  <c r="N404" i="8"/>
  <c r="J450" i="8"/>
  <c r="J186" i="8"/>
  <c r="J41" i="8"/>
  <c r="I485" i="8"/>
  <c r="N137" i="8"/>
  <c r="I244" i="8"/>
  <c r="N408" i="8"/>
  <c r="N361" i="8"/>
  <c r="I322" i="8"/>
  <c r="J179" i="8"/>
  <c r="J495" i="8"/>
  <c r="N415" i="8"/>
  <c r="F204" i="8"/>
  <c r="J24" i="8"/>
  <c r="F215" i="8"/>
  <c r="N26" i="8"/>
  <c r="N177" i="8"/>
  <c r="J39" i="8"/>
  <c r="J192" i="8"/>
  <c r="N146" i="8"/>
  <c r="N174" i="8"/>
  <c r="N21" i="8"/>
  <c r="F376" i="8"/>
  <c r="N273" i="8"/>
  <c r="I444" i="8"/>
  <c r="J260" i="8"/>
  <c r="N317" i="8"/>
  <c r="N202" i="8"/>
  <c r="I106" i="8"/>
  <c r="F465" i="8"/>
  <c r="J165" i="8"/>
  <c r="J352" i="8"/>
  <c r="J432" i="8"/>
  <c r="N362" i="8"/>
  <c r="J406" i="8"/>
  <c r="F33" i="8"/>
  <c r="F65" i="8"/>
  <c r="I380" i="8"/>
  <c r="J387" i="8"/>
  <c r="F17" i="8"/>
  <c r="J76" i="8"/>
  <c r="J238" i="8"/>
  <c r="J421" i="8"/>
  <c r="N176" i="8"/>
  <c r="N162" i="8"/>
  <c r="F211" i="8"/>
  <c r="F428" i="8"/>
  <c r="F323" i="8"/>
  <c r="I37" i="8"/>
  <c r="J96" i="8"/>
  <c r="N266" i="8"/>
  <c r="I455" i="8"/>
  <c r="N345" i="8"/>
  <c r="J61" i="8"/>
  <c r="F456" i="8"/>
  <c r="I124" i="8"/>
  <c r="J269" i="8"/>
  <c r="N417" i="8"/>
  <c r="I330" i="8"/>
  <c r="I284" i="8"/>
  <c r="I324" i="8"/>
  <c r="I449" i="8"/>
  <c r="I167" i="8"/>
  <c r="J327" i="8"/>
  <c r="N482" i="8"/>
  <c r="I483" i="8"/>
  <c r="N419" i="8"/>
  <c r="F128" i="8"/>
  <c r="N355" i="8"/>
  <c r="N468" i="8"/>
  <c r="N230" i="8"/>
  <c r="N308" i="8"/>
  <c r="N23" i="8"/>
  <c r="I423" i="8"/>
  <c r="J383" i="8"/>
  <c r="J411" i="8"/>
  <c r="N149" i="8"/>
  <c r="J140" i="8"/>
  <c r="F448" i="8"/>
  <c r="J268" i="8"/>
  <c r="I239" i="8"/>
  <c r="J305" i="8"/>
  <c r="I212" i="8"/>
  <c r="I469" i="8"/>
  <c r="I430" i="8"/>
  <c r="N240" i="8"/>
  <c r="J252" i="8"/>
  <c r="F461" i="8"/>
  <c r="J451" i="8"/>
  <c r="I471" i="8"/>
  <c r="I290" i="8"/>
  <c r="N217" i="8"/>
  <c r="J98" i="8"/>
  <c r="J331" i="8"/>
  <c r="F169" i="8"/>
  <c r="J35" i="8"/>
  <c r="J123" i="8"/>
  <c r="F214" i="8"/>
  <c r="J141" i="8"/>
  <c r="N10" i="8"/>
  <c r="I291" i="8"/>
  <c r="I58" i="8"/>
  <c r="N86" i="8"/>
  <c r="N306" i="8"/>
  <c r="N229" i="8"/>
  <c r="F360" i="8"/>
  <c r="F378" i="8"/>
  <c r="J115" i="8"/>
  <c r="N353" i="8"/>
  <c r="F170" i="8"/>
  <c r="F348" i="8"/>
  <c r="J14" i="8"/>
  <c r="J131" i="8"/>
  <c r="N263" i="8"/>
  <c r="I370" i="8"/>
  <c r="I168" i="8"/>
  <c r="N153" i="8"/>
  <c r="N480" i="8"/>
  <c r="I347" i="8"/>
  <c r="I364" i="8"/>
  <c r="J11" i="8"/>
  <c r="J395" i="8"/>
  <c r="J388" i="8"/>
  <c r="I121" i="8"/>
  <c r="F81" i="8"/>
  <c r="N281" i="8"/>
  <c r="I407" i="8"/>
  <c r="I299" i="8"/>
  <c r="I94" i="8"/>
  <c r="N278" i="8"/>
  <c r="J103" i="8"/>
  <c r="J191" i="8"/>
  <c r="J213" i="8"/>
  <c r="F409" i="8"/>
  <c r="N108" i="8"/>
  <c r="F173" i="8"/>
  <c r="F333" i="8"/>
  <c r="I93" i="8"/>
  <c r="N294" i="8"/>
  <c r="J49" i="8"/>
  <c r="I135" i="8"/>
  <c r="J54" i="8"/>
  <c r="F274" i="8"/>
  <c r="I339" i="8"/>
  <c r="J410" i="8"/>
  <c r="F377" i="8"/>
  <c r="N88" i="8"/>
  <c r="J354" i="8"/>
  <c r="N424" i="8"/>
  <c r="N474" i="8"/>
  <c r="J344" i="8"/>
  <c r="I310" i="8"/>
  <c r="J325" i="8"/>
  <c r="F382" i="8"/>
  <c r="I166" i="8"/>
  <c r="N476" i="8"/>
  <c r="N225" i="8"/>
  <c r="I51" i="8"/>
  <c r="J89" i="8"/>
  <c r="J367" i="8"/>
  <c r="F251" i="8"/>
  <c r="J453" i="8"/>
  <c r="F113" i="8"/>
  <c r="N316" i="8"/>
  <c r="N459" i="8"/>
  <c r="I182" i="8"/>
  <c r="F114" i="8"/>
  <c r="J259" i="8"/>
  <c r="F479" i="8"/>
  <c r="J295" i="8"/>
  <c r="J492" i="8"/>
  <c r="J262" i="8"/>
  <c r="I467" i="8"/>
  <c r="J366" i="8"/>
  <c r="J315" i="8"/>
  <c r="F431" i="8"/>
  <c r="F403" i="8"/>
  <c r="I441" i="8"/>
  <c r="F130" i="8"/>
  <c r="F117" i="8"/>
  <c r="J472" i="8"/>
  <c r="N271" i="8"/>
  <c r="J443" i="8"/>
  <c r="J434" i="8"/>
  <c r="J197" i="8"/>
  <c r="J282" i="8"/>
  <c r="J296" i="8"/>
  <c r="F119" i="8"/>
  <c r="N72" i="8"/>
  <c r="F391" i="8"/>
  <c r="F66" i="8"/>
  <c r="N250" i="8"/>
  <c r="J133" i="8"/>
  <c r="I126" i="8"/>
  <c r="N279" i="8"/>
  <c r="F359" i="8"/>
  <c r="I405" i="8"/>
  <c r="J237" i="8"/>
  <c r="F139" i="8"/>
  <c r="I136" i="8"/>
  <c r="J181" i="8"/>
  <c r="J285" i="8"/>
  <c r="I155" i="8"/>
  <c r="I183" i="8"/>
  <c r="F389" i="8"/>
  <c r="J138" i="8"/>
  <c r="F379" i="8"/>
  <c r="J427" i="8"/>
  <c r="F71" i="8"/>
  <c r="I267" i="8"/>
  <c r="F277" i="8"/>
  <c r="F104" i="8"/>
  <c r="J413" i="8"/>
  <c r="F470" i="8"/>
  <c r="F195" i="8"/>
  <c r="J9" i="8"/>
  <c r="I42" i="8"/>
  <c r="F385" i="8"/>
  <c r="F147" i="8"/>
  <c r="I429" i="8"/>
  <c r="F450" i="8"/>
  <c r="N41" i="8"/>
  <c r="J485" i="8"/>
  <c r="F244" i="8"/>
  <c r="F361" i="8"/>
  <c r="F322" i="8"/>
  <c r="N495" i="8"/>
  <c r="N261" i="8"/>
  <c r="J204" i="8"/>
  <c r="F67" i="8"/>
  <c r="N24" i="8"/>
  <c r="N215" i="8"/>
  <c r="J26" i="8"/>
  <c r="F177" i="8"/>
  <c r="J78" i="8"/>
  <c r="F62" i="8"/>
  <c r="F39" i="8"/>
  <c r="I192" i="8"/>
  <c r="F146" i="8"/>
  <c r="I36" i="8"/>
  <c r="F21" i="8"/>
  <c r="J376" i="8"/>
  <c r="I273" i="8"/>
  <c r="I60" i="8"/>
  <c r="N335" i="8"/>
  <c r="N260" i="8"/>
  <c r="I311" i="8"/>
  <c r="I317" i="8"/>
  <c r="J286" i="8"/>
  <c r="J465" i="8"/>
  <c r="F165" i="8"/>
  <c r="F352" i="8"/>
  <c r="F258" i="8"/>
  <c r="J362" i="8"/>
  <c r="N491" i="8"/>
  <c r="F406" i="8"/>
  <c r="J493" i="8"/>
  <c r="I65" i="8"/>
  <c r="F387" i="8"/>
  <c r="I17" i="8"/>
  <c r="N238" i="8"/>
  <c r="I176" i="8"/>
  <c r="J162" i="8"/>
  <c r="J428" i="8"/>
  <c r="N398" i="8"/>
  <c r="N323" i="8"/>
  <c r="I462" i="8"/>
  <c r="J16" i="8"/>
  <c r="N96" i="8"/>
  <c r="J266" i="8"/>
  <c r="J455" i="8"/>
  <c r="J473" i="8"/>
  <c r="N456" i="8"/>
  <c r="I59" i="8"/>
  <c r="N124" i="8"/>
  <c r="I269" i="8"/>
  <c r="N330" i="8"/>
  <c r="I223" i="8"/>
  <c r="J284" i="8"/>
  <c r="J324" i="8"/>
  <c r="F167" i="8"/>
  <c r="F275" i="8"/>
  <c r="N327" i="8"/>
  <c r="F482" i="8"/>
  <c r="J419" i="8"/>
  <c r="J50" i="8"/>
  <c r="J128" i="8"/>
  <c r="J355" i="8"/>
  <c r="J230" i="8"/>
  <c r="J489" i="8"/>
  <c r="I308" i="8"/>
  <c r="J23" i="8"/>
  <c r="N383" i="8"/>
  <c r="N416" i="8"/>
  <c r="I411" i="8"/>
  <c r="F149" i="8"/>
  <c r="N448" i="8"/>
  <c r="N180" i="8"/>
  <c r="F268" i="8"/>
  <c r="J239" i="8"/>
  <c r="N74" i="8"/>
  <c r="J212" i="8"/>
  <c r="F430" i="8"/>
  <c r="F329" i="8"/>
  <c r="F368" i="8"/>
  <c r="I252" i="8"/>
  <c r="N34" i="8"/>
  <c r="I461" i="8"/>
  <c r="F451" i="8"/>
  <c r="F290" i="8"/>
  <c r="J127" i="8"/>
  <c r="F217" i="8"/>
  <c r="F98" i="8"/>
  <c r="J169" i="8"/>
  <c r="N283" i="8"/>
  <c r="I35" i="8"/>
  <c r="I123" i="8"/>
  <c r="N141" i="8"/>
  <c r="J196" i="8"/>
  <c r="J10" i="8"/>
  <c r="N291" i="8"/>
  <c r="F90" i="8"/>
  <c r="J458" i="8"/>
  <c r="J326" i="8"/>
  <c r="I206" i="8"/>
  <c r="J142" i="8"/>
  <c r="I292" i="8"/>
  <c r="F159" i="8"/>
  <c r="I351" i="8"/>
  <c r="J157" i="8"/>
  <c r="N226" i="8"/>
  <c r="N255" i="8"/>
  <c r="I122" i="8"/>
  <c r="N125" i="8"/>
  <c r="I201" i="8"/>
  <c r="N144" i="8"/>
  <c r="F172" i="8"/>
  <c r="I303" i="8"/>
  <c r="F401" i="8"/>
  <c r="N150" i="8"/>
  <c r="F154" i="8"/>
  <c r="F161" i="8"/>
  <c r="I446" i="8"/>
  <c r="F160" i="8"/>
  <c r="J184" i="8"/>
  <c r="N475" i="8"/>
  <c r="N163" i="8"/>
  <c r="N48" i="8"/>
  <c r="I445" i="8"/>
  <c r="F86" i="8"/>
  <c r="J378" i="8"/>
  <c r="I348" i="8"/>
  <c r="N370" i="8"/>
  <c r="J153" i="8"/>
  <c r="N80" i="8"/>
  <c r="F347" i="8"/>
  <c r="N388" i="8"/>
  <c r="F407" i="8"/>
  <c r="I189" i="8"/>
  <c r="F103" i="8"/>
  <c r="J108" i="8"/>
  <c r="J294" i="8"/>
  <c r="F216" i="8"/>
  <c r="J274" i="8"/>
  <c r="I88" i="8"/>
  <c r="F424" i="8"/>
  <c r="J474" i="8"/>
  <c r="N84" i="8"/>
  <c r="N382" i="8"/>
  <c r="J225" i="8"/>
  <c r="F89" i="8"/>
  <c r="J251" i="8"/>
  <c r="F459" i="8"/>
  <c r="J182" i="8"/>
  <c r="I114" i="8"/>
  <c r="J479" i="8"/>
  <c r="F295" i="8"/>
  <c r="N492" i="8"/>
  <c r="J467" i="8"/>
  <c r="N403" i="8"/>
  <c r="N472" i="8"/>
  <c r="F197" i="8"/>
  <c r="I72" i="8"/>
  <c r="J66" i="8"/>
  <c r="J250" i="8"/>
  <c r="J126" i="8"/>
  <c r="I359" i="8"/>
  <c r="F20" i="8"/>
  <c r="N237" i="8"/>
  <c r="I139" i="8"/>
  <c r="I234" i="8"/>
  <c r="N181" i="8"/>
  <c r="J155" i="8"/>
  <c r="N357" i="8"/>
  <c r="I389" i="8"/>
  <c r="N427" i="8"/>
  <c r="N104" i="8"/>
  <c r="I470" i="8"/>
  <c r="J222" i="8"/>
  <c r="J404" i="8"/>
  <c r="N208" i="8"/>
  <c r="N241" i="8"/>
  <c r="I495" i="8"/>
  <c r="I261" i="8"/>
  <c r="F45" i="8"/>
  <c r="F24" i="8"/>
  <c r="F92" i="8"/>
  <c r="N301" i="8"/>
  <c r="J63" i="8"/>
  <c r="N233" i="8"/>
  <c r="J335" i="8"/>
  <c r="F53" i="8"/>
  <c r="F286" i="8"/>
  <c r="J175" i="8"/>
  <c r="I390" i="8"/>
  <c r="J488" i="8"/>
  <c r="J178" i="8"/>
  <c r="I393" i="8"/>
  <c r="J365" i="8"/>
  <c r="F321" i="8"/>
  <c r="N437" i="8"/>
  <c r="J200" i="8"/>
  <c r="N16" i="8"/>
  <c r="J116" i="8"/>
  <c r="I473" i="8"/>
  <c r="F466" i="8"/>
  <c r="N210" i="8"/>
  <c r="I288" i="8"/>
  <c r="I102" i="8"/>
  <c r="F394" i="8"/>
  <c r="N307" i="8"/>
  <c r="N38" i="8"/>
  <c r="I40" i="8"/>
  <c r="F203" i="8"/>
  <c r="F487" i="8"/>
  <c r="J30" i="8"/>
  <c r="N340" i="8"/>
  <c r="I402" i="8"/>
  <c r="F74" i="8"/>
  <c r="F194" i="8"/>
  <c r="J368" i="8"/>
  <c r="N101" i="8"/>
  <c r="N341" i="8"/>
  <c r="I298" i="8"/>
  <c r="F52" i="8"/>
  <c r="I356" i="8"/>
  <c r="F343" i="8"/>
  <c r="F342" i="8"/>
  <c r="N425" i="8"/>
  <c r="J235" i="8"/>
  <c r="F372" i="8"/>
  <c r="J257" i="8"/>
  <c r="F142" i="8"/>
  <c r="F292" i="8"/>
  <c r="N351" i="8"/>
  <c r="I157" i="8"/>
  <c r="J484" i="8"/>
  <c r="N44" i="8"/>
  <c r="J400" i="8"/>
  <c r="F433" i="8"/>
  <c r="I144" i="8"/>
  <c r="J172" i="8"/>
  <c r="N346" i="8"/>
  <c r="I401" i="8"/>
  <c r="J249" i="8"/>
  <c r="F289" i="8"/>
  <c r="I28" i="8"/>
  <c r="J160" i="8"/>
  <c r="I184" i="8"/>
  <c r="J414" i="8"/>
  <c r="F163" i="8"/>
  <c r="I328" i="8"/>
  <c r="N145" i="8"/>
  <c r="N220" i="8"/>
  <c r="F447" i="8"/>
  <c r="I367" i="8"/>
  <c r="J454" i="8"/>
  <c r="F227" i="8"/>
  <c r="I105" i="8"/>
  <c r="N218" i="8"/>
  <c r="N85" i="8"/>
  <c r="N133" i="8"/>
  <c r="F207" i="8"/>
  <c r="F490" i="8"/>
  <c r="F110" i="8"/>
  <c r="I83" i="8"/>
  <c r="I77" i="8"/>
  <c r="J18" i="8"/>
  <c r="J92" i="8"/>
  <c r="I146" i="8"/>
  <c r="I376" i="8"/>
  <c r="J202" i="8"/>
  <c r="J491" i="8"/>
  <c r="N17" i="8"/>
  <c r="I398" i="8"/>
  <c r="F455" i="8"/>
  <c r="F59" i="8"/>
  <c r="N324" i="8"/>
  <c r="F355" i="8"/>
  <c r="I416" i="8"/>
  <c r="I180" i="8"/>
  <c r="I329" i="8"/>
  <c r="N98" i="8"/>
  <c r="N196" i="8"/>
  <c r="F458" i="8"/>
  <c r="J346" i="8"/>
  <c r="J446" i="8"/>
  <c r="I414" i="8"/>
  <c r="F445" i="8"/>
  <c r="I8" i="8"/>
  <c r="N232" i="8"/>
  <c r="J245" i="8"/>
  <c r="F231" i="8"/>
  <c r="F264" i="8"/>
  <c r="F97" i="8"/>
  <c r="N107" i="8"/>
  <c r="F120" i="8"/>
  <c r="J248" i="8"/>
  <c r="N134" i="8"/>
  <c r="F367" i="8"/>
  <c r="F259" i="8"/>
  <c r="F262" i="8"/>
  <c r="F151" i="8"/>
  <c r="J243" i="8"/>
  <c r="J185" i="8"/>
  <c r="N207" i="8"/>
  <c r="J494" i="8"/>
  <c r="F183" i="8"/>
  <c r="F43" i="8"/>
  <c r="N83" i="8"/>
  <c r="N309" i="8"/>
  <c r="F408" i="8"/>
  <c r="I215" i="8"/>
  <c r="N465" i="8"/>
  <c r="J33" i="8"/>
  <c r="N428" i="8"/>
  <c r="I112" i="8"/>
  <c r="N167" i="8"/>
  <c r="F419" i="8"/>
  <c r="N239" i="8"/>
  <c r="I90" i="8"/>
  <c r="I381" i="8"/>
  <c r="F226" i="8"/>
  <c r="N154" i="8"/>
  <c r="F152" i="8"/>
  <c r="J445" i="8"/>
  <c r="F306" i="8"/>
  <c r="J392" i="8"/>
  <c r="N364" i="8"/>
  <c r="J231" i="8"/>
  <c r="J220" i="8"/>
  <c r="F339" i="8"/>
  <c r="I270" i="8"/>
  <c r="I373" i="8"/>
  <c r="J441" i="8"/>
  <c r="F282" i="8"/>
  <c r="F133" i="8"/>
  <c r="N369" i="8"/>
  <c r="I397" i="8"/>
  <c r="J83" i="8"/>
  <c r="N385" i="8"/>
  <c r="N485" i="8"/>
  <c r="I415" i="8"/>
  <c r="I177" i="8"/>
  <c r="J21" i="8"/>
  <c r="N106" i="8"/>
  <c r="I452" i="8"/>
  <c r="J211" i="8"/>
  <c r="F417" i="8"/>
  <c r="F423" i="8"/>
  <c r="J206" i="8"/>
  <c r="F100" i="8"/>
  <c r="I460" i="8"/>
  <c r="N384" i="8"/>
  <c r="J32" i="8"/>
  <c r="I457" i="8"/>
  <c r="I420" i="8"/>
  <c r="J13" i="8"/>
  <c r="J199" i="8"/>
  <c r="I435" i="8"/>
  <c r="I158" i="8"/>
  <c r="I87" i="8"/>
  <c r="N426" i="8"/>
  <c r="N253" i="8"/>
  <c r="J198" i="8"/>
  <c r="I254" i="8"/>
  <c r="J310" i="8"/>
  <c r="I325" i="8"/>
  <c r="J382" i="8"/>
  <c r="I476" i="8"/>
  <c r="J12" i="8"/>
  <c r="N221" i="8"/>
  <c r="F319" i="8"/>
  <c r="I265" i="8"/>
  <c r="I304" i="8"/>
  <c r="J25" i="8"/>
  <c r="N374" i="8"/>
  <c r="F334" i="8"/>
  <c r="J386" i="8"/>
  <c r="J111" i="8"/>
  <c r="F332" i="8"/>
  <c r="J490" i="8"/>
  <c r="F143" i="8"/>
  <c r="N477" i="8"/>
  <c r="F70" i="8"/>
  <c r="J442" i="8"/>
  <c r="N302" i="8"/>
  <c r="I95" i="8"/>
  <c r="F209" i="8"/>
  <c r="I18" i="8"/>
  <c r="F179" i="8"/>
  <c r="J45" i="8"/>
  <c r="I68" i="8"/>
  <c r="N92" i="8"/>
  <c r="J300" i="8"/>
  <c r="F36" i="8"/>
  <c r="I233" i="8"/>
  <c r="I335" i="8"/>
  <c r="N311" i="8"/>
  <c r="N286" i="8"/>
  <c r="N165" i="8"/>
  <c r="F390" i="8"/>
  <c r="I491" i="8"/>
  <c r="I178" i="8"/>
  <c r="J380" i="8"/>
  <c r="N365" i="8"/>
  <c r="N421" i="8"/>
  <c r="J437" i="8"/>
  <c r="J398" i="8"/>
  <c r="F16" i="8"/>
  <c r="F266" i="8"/>
  <c r="N473" i="8"/>
  <c r="N59" i="8"/>
  <c r="J210" i="8"/>
  <c r="N223" i="8"/>
  <c r="F102" i="8"/>
  <c r="I275" i="8"/>
  <c r="I307" i="8"/>
  <c r="F50" i="8"/>
  <c r="J40" i="8"/>
  <c r="F489" i="8"/>
  <c r="I487" i="8"/>
  <c r="F416" i="8"/>
  <c r="I340" i="8"/>
  <c r="F180" i="8"/>
  <c r="J402" i="8"/>
  <c r="I74" i="8"/>
  <c r="F469" i="8"/>
  <c r="I194" i="8"/>
  <c r="I368" i="8"/>
  <c r="I34" i="8"/>
  <c r="J341" i="8"/>
  <c r="I127" i="8"/>
  <c r="N52" i="8"/>
  <c r="I283" i="8"/>
  <c r="N343" i="8"/>
  <c r="F196" i="8"/>
  <c r="I425" i="8"/>
  <c r="N372" i="8"/>
  <c r="I257" i="8"/>
  <c r="N142" i="8"/>
  <c r="J351" i="8"/>
  <c r="F157" i="8"/>
  <c r="F44" i="8"/>
  <c r="F400" i="8"/>
  <c r="J125" i="8"/>
  <c r="I172" i="8"/>
  <c r="I346" i="8"/>
  <c r="N358" i="8"/>
  <c r="I249" i="8"/>
  <c r="I289" i="8"/>
  <c r="I161" i="8"/>
  <c r="N184" i="8"/>
  <c r="F414" i="8"/>
  <c r="J396" i="8"/>
  <c r="J328" i="8"/>
  <c r="J145" i="8"/>
  <c r="J120" i="8"/>
  <c r="J134" i="8"/>
  <c r="J22" i="8"/>
  <c r="I221" i="8"/>
  <c r="J265" i="8"/>
  <c r="N151" i="8"/>
  <c r="I243" i="8"/>
  <c r="N132" i="8"/>
  <c r="I477" i="8"/>
  <c r="I70" i="8"/>
  <c r="F64" i="8"/>
  <c r="I148" i="8"/>
  <c r="F9" i="8"/>
  <c r="J69" i="8"/>
  <c r="N363" i="8"/>
  <c r="N78" i="8"/>
  <c r="N36" i="8"/>
  <c r="J311" i="8"/>
  <c r="I352" i="8"/>
  <c r="N380" i="8"/>
  <c r="F162" i="8"/>
  <c r="F96" i="8"/>
  <c r="N269" i="8"/>
  <c r="J275" i="8"/>
  <c r="N50" i="8"/>
  <c r="I23" i="8"/>
  <c r="F239" i="8"/>
  <c r="J34" i="8"/>
  <c r="N127" i="8"/>
  <c r="N123" i="8"/>
  <c r="F381" i="8"/>
  <c r="F201" i="8"/>
  <c r="J156" i="8"/>
  <c r="J150" i="8"/>
  <c r="N161" i="8"/>
  <c r="J152" i="8"/>
  <c r="F48" i="8"/>
  <c r="N276" i="8"/>
  <c r="N313" i="8"/>
  <c r="N280" i="8"/>
  <c r="N242" i="8"/>
  <c r="N422" i="8"/>
  <c r="F338" i="8"/>
  <c r="J399" i="8"/>
  <c r="N454" i="8"/>
  <c r="F91" i="8"/>
  <c r="J373" i="8"/>
  <c r="J375" i="8"/>
  <c r="I371" i="8"/>
  <c r="I440" i="8"/>
  <c r="J405" i="8"/>
  <c r="J397" i="8"/>
  <c r="I57" i="8"/>
  <c r="N148" i="8"/>
  <c r="I385" i="8"/>
  <c r="F69" i="8"/>
  <c r="J287" i="8"/>
  <c r="F78" i="8"/>
  <c r="F60" i="8"/>
  <c r="N65" i="8"/>
  <c r="I238" i="8"/>
  <c r="J456" i="8"/>
  <c r="I448" i="8"/>
  <c r="N212" i="8"/>
  <c r="N252" i="8"/>
  <c r="N458" i="8"/>
  <c r="J129" i="8"/>
  <c r="I484" i="8"/>
  <c r="N201" i="8"/>
  <c r="J358" i="8"/>
  <c r="F164" i="8"/>
  <c r="F32" i="8"/>
  <c r="I396" i="8"/>
  <c r="N55" i="8"/>
  <c r="N8" i="8"/>
  <c r="F299" i="8"/>
  <c r="I49" i="8"/>
  <c r="I224" i="8"/>
  <c r="N166" i="8"/>
  <c r="F453" i="8"/>
  <c r="I91" i="8"/>
  <c r="N366" i="8"/>
  <c r="N481" i="8"/>
  <c r="J391" i="8"/>
  <c r="I279" i="8"/>
  <c r="F494" i="8"/>
  <c r="N183" i="8"/>
  <c r="J148" i="8"/>
  <c r="N429" i="8"/>
  <c r="I408" i="8"/>
  <c r="N67" i="8"/>
  <c r="F192" i="8"/>
  <c r="F116" i="8"/>
  <c r="I140" i="8"/>
  <c r="F436" i="8"/>
  <c r="N381" i="8"/>
  <c r="J464" i="8"/>
  <c r="N433" i="8"/>
  <c r="F156" i="8"/>
  <c r="I152" i="8"/>
  <c r="F463" i="8"/>
  <c r="F276" i="8"/>
  <c r="J236" i="8"/>
  <c r="J56" i="8"/>
  <c r="F320" i="8"/>
  <c r="F313" i="8"/>
  <c r="N199" i="8"/>
  <c r="F232" i="8"/>
  <c r="N246" i="8"/>
  <c r="F435" i="8"/>
  <c r="F350" i="8"/>
  <c r="F79" i="8"/>
  <c r="N256" i="8"/>
  <c r="N314" i="8"/>
  <c r="I205" i="8"/>
  <c r="N349" i="8"/>
  <c r="J280" i="8"/>
  <c r="N297" i="8"/>
  <c r="I97" i="8"/>
  <c r="J82" i="8"/>
  <c r="F107" i="8"/>
  <c r="J190" i="8"/>
  <c r="I120" i="8"/>
  <c r="I247" i="8"/>
  <c r="N254" i="8"/>
  <c r="I248" i="8"/>
  <c r="J19" i="8"/>
  <c r="I22" i="8"/>
  <c r="I454" i="8"/>
  <c r="J91" i="8"/>
  <c r="N373" i="8"/>
  <c r="N47" i="8"/>
  <c r="J336" i="8"/>
  <c r="I227" i="8"/>
  <c r="N375" i="8"/>
  <c r="J105" i="8"/>
  <c r="N243" i="8"/>
  <c r="J218" i="8"/>
  <c r="J132" i="8"/>
  <c r="J85" i="8"/>
  <c r="J440" i="8"/>
  <c r="F118" i="8"/>
  <c r="I111" i="8"/>
  <c r="I494" i="8"/>
  <c r="N109" i="8"/>
  <c r="F57" i="8"/>
  <c r="I110" i="8"/>
  <c r="J43" i="8"/>
  <c r="I478" i="8"/>
  <c r="F222" i="8"/>
  <c r="F309" i="8"/>
  <c r="J77" i="8"/>
  <c r="F208" i="8"/>
  <c r="I209" i="8"/>
  <c r="N69" i="8"/>
  <c r="I241" i="8"/>
  <c r="J46" i="8"/>
  <c r="F287" i="8"/>
  <c r="J68" i="8"/>
  <c r="I78" i="8"/>
  <c r="I39" i="8"/>
  <c r="I300" i="8"/>
  <c r="J36" i="8"/>
  <c r="N376" i="8"/>
  <c r="F335" i="8"/>
  <c r="F311" i="8"/>
  <c r="I202" i="8"/>
  <c r="I286" i="8"/>
  <c r="I165" i="8"/>
  <c r="J258" i="8"/>
  <c r="J390" i="8"/>
  <c r="F491" i="8"/>
  <c r="F493" i="8"/>
  <c r="F178" i="8"/>
  <c r="F380" i="8"/>
  <c r="J17" i="8"/>
  <c r="F365" i="8"/>
  <c r="I421" i="8"/>
  <c r="I162" i="8"/>
  <c r="F437" i="8"/>
  <c r="F398" i="8"/>
  <c r="J462" i="8"/>
  <c r="I266" i="8"/>
  <c r="I345" i="8"/>
  <c r="F473" i="8"/>
  <c r="J59" i="8"/>
  <c r="F269" i="8"/>
  <c r="F210" i="8"/>
  <c r="F223" i="8"/>
  <c r="F324" i="8"/>
  <c r="N102" i="8"/>
  <c r="N275" i="8"/>
  <c r="J482" i="8"/>
  <c r="J307" i="8"/>
  <c r="I50" i="8"/>
  <c r="I355" i="8"/>
  <c r="F40" i="8"/>
  <c r="N489" i="8"/>
  <c r="F23" i="8"/>
  <c r="N487" i="8"/>
  <c r="J416" i="8"/>
  <c r="J149" i="8"/>
  <c r="J340" i="8"/>
  <c r="J180" i="8"/>
  <c r="J74" i="8"/>
  <c r="J469" i="8"/>
  <c r="N368" i="8"/>
  <c r="F34" i="8"/>
  <c r="N451" i="8"/>
  <c r="I341" i="8"/>
  <c r="F127" i="8"/>
  <c r="I98" i="8"/>
  <c r="I52" i="8"/>
  <c r="J283" i="8"/>
  <c r="F123" i="8"/>
  <c r="J343" i="8"/>
  <c r="I196" i="8"/>
  <c r="F291" i="8"/>
  <c r="F425" i="8"/>
  <c r="I458" i="8"/>
  <c r="I372" i="8"/>
  <c r="N159" i="8"/>
  <c r="F351" i="8"/>
  <c r="N484" i="8"/>
  <c r="I44" i="8"/>
  <c r="N400" i="8"/>
  <c r="I125" i="8"/>
  <c r="J201" i="8"/>
  <c r="I384" i="8"/>
  <c r="F346" i="8"/>
  <c r="I358" i="8"/>
  <c r="F150" i="8"/>
  <c r="N289" i="8"/>
  <c r="J161" i="8"/>
  <c r="F446" i="8"/>
  <c r="I32" i="8"/>
  <c r="N414" i="8"/>
  <c r="N396" i="8"/>
  <c r="J48" i="8"/>
  <c r="F145" i="8"/>
  <c r="J463" i="8"/>
  <c r="I276" i="8"/>
  <c r="J8" i="8"/>
  <c r="I236" i="8"/>
  <c r="F56" i="8"/>
  <c r="F318" i="8"/>
  <c r="I320" i="8"/>
  <c r="I313" i="8"/>
  <c r="I392" i="8"/>
  <c r="F199" i="8"/>
  <c r="J480" i="8"/>
  <c r="I350" i="8"/>
  <c r="F245" i="8"/>
  <c r="N79" i="8"/>
  <c r="J256" i="8"/>
  <c r="N231" i="8"/>
  <c r="I314" i="8"/>
  <c r="N205" i="8"/>
  <c r="N264" i="8"/>
  <c r="F349" i="8"/>
  <c r="F280" i="8"/>
  <c r="I297" i="8"/>
  <c r="N97" i="8"/>
  <c r="J242" i="8"/>
  <c r="F82" i="8"/>
  <c r="J107" i="8"/>
  <c r="I337" i="8"/>
  <c r="I190" i="8"/>
  <c r="N224" i="8"/>
  <c r="F247" i="8"/>
  <c r="J422" i="8"/>
  <c r="N399" i="8"/>
  <c r="N270" i="8"/>
  <c r="J47" i="8"/>
  <c r="I336" i="8"/>
  <c r="I375" i="8"/>
  <c r="I481" i="8"/>
  <c r="F371" i="8"/>
  <c r="F185" i="8"/>
  <c r="N397" i="8"/>
  <c r="J57" i="8"/>
  <c r="I43" i="8"/>
  <c r="N478" i="8"/>
  <c r="J309" i="8"/>
  <c r="N209" i="8"/>
  <c r="N46" i="8"/>
  <c r="N60" i="8"/>
  <c r="I258" i="8"/>
  <c r="I493" i="8"/>
  <c r="F421" i="8"/>
  <c r="N462" i="8"/>
  <c r="F345" i="8"/>
  <c r="J223" i="8"/>
  <c r="I482" i="8"/>
  <c r="I489" i="8"/>
  <c r="I149" i="8"/>
  <c r="N469" i="8"/>
  <c r="I451" i="8"/>
  <c r="F283" i="8"/>
  <c r="J291" i="8"/>
  <c r="N129" i="8"/>
  <c r="J226" i="8"/>
  <c r="F484" i="8"/>
  <c r="F125" i="8"/>
  <c r="J384" i="8"/>
  <c r="F358" i="8"/>
  <c r="I154" i="8"/>
  <c r="N32" i="8"/>
  <c r="F396" i="8"/>
  <c r="N56" i="8"/>
  <c r="N318" i="8"/>
  <c r="N392" i="8"/>
  <c r="J350" i="8"/>
  <c r="F256" i="8"/>
  <c r="J205" i="8"/>
  <c r="F220" i="8"/>
  <c r="J337" i="8"/>
  <c r="J224" i="8"/>
  <c r="I344" i="8"/>
  <c r="J270" i="8"/>
  <c r="N336" i="8"/>
  <c r="J481" i="8"/>
  <c r="I132" i="8"/>
  <c r="J136" i="8"/>
  <c r="J64" i="8"/>
  <c r="N9" i="8"/>
  <c r="N77" i="8"/>
  <c r="F18" i="8"/>
  <c r="I67" i="8"/>
  <c r="N39" i="8"/>
  <c r="J273" i="8"/>
  <c r="J106" i="8"/>
  <c r="J330" i="8"/>
  <c r="I268" i="8"/>
  <c r="N329" i="8"/>
  <c r="N290" i="8"/>
  <c r="F141" i="8"/>
  <c r="N486" i="8"/>
  <c r="N460" i="8"/>
  <c r="N156" i="8"/>
  <c r="I150" i="8"/>
  <c r="N446" i="8"/>
  <c r="F115" i="8"/>
  <c r="J318" i="8"/>
  <c r="I232" i="8"/>
  <c r="J121" i="8"/>
  <c r="J264" i="8"/>
  <c r="F242" i="8"/>
  <c r="F354" i="8"/>
  <c r="J338" i="8"/>
  <c r="J31" i="8"/>
  <c r="F271" i="8"/>
  <c r="N185" i="8"/>
  <c r="I207" i="8"/>
  <c r="F136" i="8"/>
  <c r="N64" i="8"/>
  <c r="F413" i="8"/>
  <c r="F77" i="8"/>
  <c r="I69" i="8"/>
  <c r="N287" i="8"/>
  <c r="I174" i="8"/>
  <c r="J29" i="8"/>
  <c r="I439" i="8"/>
  <c r="N432" i="8"/>
  <c r="F293" i="8"/>
  <c r="F76" i="8"/>
  <c r="I200" i="8"/>
  <c r="N61" i="8"/>
  <c r="N449" i="8"/>
  <c r="J483" i="8"/>
  <c r="I468" i="8"/>
  <c r="J240" i="8"/>
  <c r="J214" i="8"/>
  <c r="N58" i="8"/>
  <c r="J486" i="8"/>
  <c r="J122" i="8"/>
  <c r="J154" i="8"/>
  <c r="J28" i="8"/>
  <c r="F475" i="8"/>
  <c r="I55" i="8"/>
  <c r="I306" i="8"/>
  <c r="N360" i="8"/>
  <c r="F8" i="8"/>
  <c r="I115" i="8"/>
  <c r="I170" i="8"/>
  <c r="I318" i="8"/>
  <c r="F14" i="8"/>
  <c r="I263" i="8"/>
  <c r="F392" i="8"/>
  <c r="F168" i="8"/>
  <c r="F480" i="8"/>
  <c r="F364" i="8"/>
  <c r="F395" i="8"/>
  <c r="N245" i="8"/>
  <c r="N121" i="8"/>
  <c r="J281" i="8"/>
  <c r="I231" i="8"/>
  <c r="J299" i="8"/>
  <c r="I278" i="8"/>
  <c r="I264" i="8"/>
  <c r="I191" i="8"/>
  <c r="N409" i="8"/>
  <c r="I220" i="8"/>
  <c r="J173" i="8"/>
  <c r="J93" i="8"/>
  <c r="I242" i="8"/>
  <c r="F49" i="8"/>
  <c r="I54" i="8"/>
  <c r="N337" i="8"/>
  <c r="J339" i="8"/>
  <c r="N377" i="8"/>
  <c r="F224" i="8"/>
  <c r="I354" i="8"/>
  <c r="N344" i="8"/>
  <c r="F84" i="8"/>
  <c r="N338" i="8"/>
  <c r="J166" i="8"/>
  <c r="F225" i="8"/>
  <c r="N367" i="8"/>
  <c r="I453" i="8"/>
  <c r="I316" i="8"/>
  <c r="F270" i="8"/>
  <c r="N438" i="8"/>
  <c r="N259" i="8"/>
  <c r="I31" i="8"/>
  <c r="I262" i="8"/>
  <c r="I366" i="8"/>
  <c r="J431" i="8"/>
  <c r="I151" i="8"/>
  <c r="F441" i="8"/>
  <c r="I117" i="8"/>
  <c r="F481" i="8"/>
  <c r="I271" i="8"/>
  <c r="N434" i="8"/>
  <c r="N371" i="8"/>
  <c r="I282" i="8"/>
  <c r="N119" i="8"/>
  <c r="I185" i="8"/>
  <c r="I391" i="8"/>
  <c r="I133" i="8"/>
  <c r="F279" i="8"/>
  <c r="F405" i="8"/>
  <c r="J369" i="8"/>
  <c r="N136" i="8"/>
  <c r="N285" i="8"/>
  <c r="J183" i="8"/>
  <c r="N138" i="8"/>
  <c r="F272" i="8"/>
  <c r="I64" i="8"/>
  <c r="N71" i="8"/>
  <c r="N277" i="8"/>
  <c r="F148" i="8"/>
  <c r="N413" i="8"/>
  <c r="J385" i="8"/>
  <c r="F186" i="8"/>
  <c r="F485" i="8"/>
  <c r="J408" i="8"/>
  <c r="J322" i="8"/>
  <c r="J363" i="8"/>
  <c r="F415" i="8"/>
  <c r="J67" i="8"/>
  <c r="J215" i="8"/>
  <c r="J15" i="8"/>
  <c r="I62" i="8"/>
  <c r="F174" i="8"/>
  <c r="N444" i="8"/>
  <c r="N488" i="8"/>
  <c r="F393" i="8"/>
  <c r="J312" i="8"/>
  <c r="I321" i="8"/>
  <c r="J75" i="8"/>
  <c r="N200" i="8"/>
  <c r="J112" i="8"/>
  <c r="J193" i="8"/>
  <c r="J466" i="8"/>
  <c r="I73" i="8"/>
  <c r="J288" i="8"/>
  <c r="I228" i="8"/>
  <c r="I394" i="8"/>
  <c r="N219" i="8"/>
  <c r="J38" i="8"/>
  <c r="F188" i="8"/>
  <c r="I203" i="8"/>
  <c r="F412" i="8"/>
  <c r="N30" i="8"/>
  <c r="F418" i="8"/>
  <c r="N402" i="8"/>
  <c r="I305" i="8"/>
  <c r="N194" i="8"/>
  <c r="J99" i="8"/>
  <c r="J101" i="8"/>
  <c r="J171" i="8"/>
  <c r="F298" i="8"/>
  <c r="F27" i="8"/>
  <c r="F356" i="8"/>
  <c r="F187" i="8"/>
  <c r="I342" i="8"/>
  <c r="F326" i="8"/>
  <c r="F206" i="8"/>
  <c r="J381" i="8"/>
  <c r="J292" i="8"/>
  <c r="I486" i="8"/>
  <c r="J255" i="8"/>
  <c r="N122" i="8"/>
  <c r="J460" i="8"/>
  <c r="J433" i="8"/>
  <c r="J144" i="8"/>
  <c r="I156" i="8"/>
  <c r="N303" i="8"/>
  <c r="J401" i="8"/>
  <c r="F249" i="8"/>
  <c r="N164" i="8"/>
  <c r="N28" i="8"/>
  <c r="I160" i="8"/>
  <c r="N152" i="8"/>
  <c r="J475" i="8"/>
  <c r="I163" i="8"/>
  <c r="F328" i="8"/>
  <c r="J55" i="8"/>
  <c r="J306" i="8"/>
  <c r="I360" i="8"/>
  <c r="N115" i="8"/>
  <c r="J170" i="8"/>
  <c r="N14" i="8"/>
  <c r="J263" i="8"/>
  <c r="N168" i="8"/>
  <c r="I80" i="8"/>
  <c r="J364" i="8"/>
  <c r="N395" i="8"/>
  <c r="F121" i="8"/>
  <c r="I281" i="8"/>
  <c r="N299" i="8"/>
  <c r="F278" i="8"/>
  <c r="F191" i="8"/>
  <c r="J409" i="8"/>
  <c r="I173" i="8"/>
  <c r="N93" i="8"/>
  <c r="N49" i="8"/>
  <c r="F54" i="8"/>
  <c r="N339" i="8"/>
  <c r="J377" i="8"/>
  <c r="N354" i="8"/>
  <c r="F474" i="8"/>
  <c r="F344" i="8"/>
  <c r="I84" i="8"/>
  <c r="F166" i="8"/>
  <c r="I225" i="8"/>
  <c r="I89" i="8"/>
  <c r="N453" i="8"/>
  <c r="J316" i="8"/>
  <c r="J438" i="8"/>
  <c r="N114" i="8"/>
  <c r="N31" i="8"/>
  <c r="I492" i="8"/>
  <c r="F366" i="8"/>
  <c r="I431" i="8"/>
  <c r="N441" i="8"/>
  <c r="N117" i="8"/>
  <c r="J271" i="8"/>
  <c r="I434" i="8"/>
  <c r="N282" i="8"/>
  <c r="I119" i="8"/>
  <c r="N391" i="8"/>
  <c r="I250" i="8"/>
  <c r="J279" i="8"/>
  <c r="I20" i="8"/>
  <c r="F369" i="8"/>
  <c r="J234" i="8"/>
  <c r="F285" i="8"/>
  <c r="J357" i="8"/>
  <c r="I138" i="8"/>
  <c r="N272" i="8"/>
  <c r="J71" i="8"/>
  <c r="I277" i="8"/>
  <c r="I413" i="8"/>
  <c r="N195" i="8"/>
  <c r="N42" i="8"/>
  <c r="N147" i="8"/>
  <c r="N450" i="8"/>
  <c r="I137" i="8"/>
  <c r="J244" i="8"/>
  <c r="I361" i="8"/>
  <c r="N322" i="8"/>
  <c r="J415" i="8"/>
  <c r="I204" i="8"/>
  <c r="F15" i="8"/>
  <c r="F301" i="8"/>
  <c r="F300" i="8"/>
  <c r="F63" i="8"/>
  <c r="F233" i="8"/>
  <c r="F29" i="8"/>
  <c r="N53" i="8"/>
  <c r="F439" i="8"/>
  <c r="I175" i="8"/>
  <c r="N390" i="8"/>
  <c r="N452" i="8"/>
  <c r="I488" i="8"/>
  <c r="N178" i="8"/>
  <c r="J293" i="8"/>
  <c r="N393" i="8"/>
  <c r="I365" i="8"/>
  <c r="N312" i="8"/>
  <c r="N321" i="8"/>
  <c r="I437" i="8"/>
  <c r="I75" i="8"/>
  <c r="I16" i="8"/>
  <c r="I116" i="8"/>
  <c r="N193" i="8"/>
  <c r="N466" i="8"/>
  <c r="I210" i="8"/>
  <c r="N73" i="8"/>
  <c r="F288" i="8"/>
  <c r="J102" i="8"/>
  <c r="F228" i="8"/>
  <c r="J394" i="8"/>
  <c r="F307" i="8"/>
  <c r="F219" i="8"/>
  <c r="I38" i="8"/>
  <c r="N40" i="8"/>
  <c r="N188" i="8"/>
  <c r="N203" i="8"/>
  <c r="J487" i="8"/>
  <c r="I412" i="8"/>
  <c r="F30" i="8"/>
  <c r="F340" i="8"/>
  <c r="J418" i="8"/>
  <c r="J436" i="8"/>
  <c r="I99" i="8"/>
  <c r="F101" i="8"/>
  <c r="F341" i="8"/>
  <c r="N171" i="8"/>
  <c r="J298" i="8"/>
  <c r="J52" i="8"/>
  <c r="J27" i="8"/>
  <c r="J356" i="8"/>
  <c r="I343" i="8"/>
  <c r="J187" i="8"/>
  <c r="N342" i="8"/>
  <c r="J425" i="8"/>
  <c r="N235" i="8"/>
  <c r="N292" i="8"/>
  <c r="N157" i="8"/>
  <c r="I464" i="8"/>
  <c r="F460" i="8"/>
  <c r="I433" i="8"/>
  <c r="F144" i="8"/>
  <c r="N172" i="8"/>
  <c r="J303" i="8"/>
  <c r="N401" i="8"/>
  <c r="N249" i="8"/>
  <c r="J289" i="8"/>
  <c r="I164" i="8"/>
  <c r="F28" i="8"/>
  <c r="N160" i="8"/>
  <c r="F184" i="8"/>
  <c r="I475" i="8"/>
  <c r="J163" i="8"/>
  <c r="N328" i="8"/>
  <c r="I145" i="8"/>
  <c r="F55" i="8"/>
  <c r="I186" i="8"/>
  <c r="I363" i="8"/>
  <c r="F260" i="8"/>
  <c r="I362" i="8"/>
  <c r="N37" i="8"/>
  <c r="I61" i="8"/>
  <c r="I230" i="8"/>
  <c r="I383" i="8"/>
  <c r="N430" i="8"/>
  <c r="N169" i="8"/>
  <c r="N206" i="8"/>
  <c r="N100" i="8"/>
  <c r="F122" i="8"/>
  <c r="F384" i="8"/>
  <c r="I48" i="8"/>
  <c r="I14" i="8"/>
  <c r="I480" i="8"/>
  <c r="I245" i="8"/>
  <c r="N191" i="8"/>
  <c r="N173" i="8"/>
  <c r="F337" i="8"/>
  <c r="F422" i="8"/>
  <c r="F399" i="8"/>
  <c r="I438" i="8"/>
  <c r="I259" i="8"/>
  <c r="N262" i="8"/>
  <c r="J151" i="8"/>
  <c r="J371" i="8"/>
  <c r="F440" i="8"/>
  <c r="N405" i="8"/>
  <c r="I285" i="8"/>
  <c r="F138" i="8"/>
  <c r="I71" i="8"/>
  <c r="I9" i="8"/>
  <c r="N186" i="8"/>
  <c r="F363" i="8"/>
  <c r="J53" i="8"/>
  <c r="F175" i="8"/>
  <c r="F112" i="8"/>
  <c r="N471" i="8"/>
  <c r="N331" i="8"/>
  <c r="J90" i="8"/>
  <c r="F303" i="8"/>
  <c r="J164" i="8"/>
  <c r="N445" i="8"/>
  <c r="V164" i="8" l="1"/>
  <c r="V90" i="8"/>
  <c r="V53" i="8"/>
  <c r="AD53" i="8" s="1"/>
  <c r="R9" i="8"/>
  <c r="Z9" i="8" s="1"/>
  <c r="R71" i="8"/>
  <c r="Z71" i="8" s="1"/>
  <c r="R285" i="8"/>
  <c r="Z285" i="8" s="1"/>
  <c r="V371" i="8"/>
  <c r="AD371" i="8" s="1"/>
  <c r="V151" i="8"/>
  <c r="R259" i="8"/>
  <c r="Z259" i="8" s="1"/>
  <c r="R438" i="8"/>
  <c r="Z438" i="8" s="1"/>
  <c r="R245" i="8"/>
  <c r="Z245" i="8" s="1"/>
  <c r="R480" i="8"/>
  <c r="Z480" i="8" s="1"/>
  <c r="R14" i="8"/>
  <c r="Z14" i="8" s="1"/>
  <c r="R48" i="8"/>
  <c r="Z48" i="8" s="1"/>
  <c r="R383" i="8"/>
  <c r="Z383" i="8" s="1"/>
  <c r="R230" i="8"/>
  <c r="Z230" i="8" s="1"/>
  <c r="R61" i="8"/>
  <c r="Z61" i="8" s="1"/>
  <c r="R362" i="8"/>
  <c r="Z362" i="8" s="1"/>
  <c r="R363" i="8"/>
  <c r="Z363" i="8" s="1"/>
  <c r="R186" i="8"/>
  <c r="Z186" i="8" s="1"/>
  <c r="R145" i="8"/>
  <c r="Z145" i="8" s="1"/>
  <c r="V163" i="8"/>
  <c r="R475" i="8"/>
  <c r="Z475" i="8" s="1"/>
  <c r="R164" i="8"/>
  <c r="Z164" i="8" s="1"/>
  <c r="V289" i="8"/>
  <c r="V303" i="8"/>
  <c r="R433" i="8"/>
  <c r="Z433" i="8" s="1"/>
  <c r="R464" i="8"/>
  <c r="Z464" i="8" s="1"/>
  <c r="V425" i="8"/>
  <c r="AB425" i="8" s="1"/>
  <c r="V187" i="8"/>
  <c r="AB187" i="8" s="1"/>
  <c r="R343" i="8"/>
  <c r="Z343" i="8" s="1"/>
  <c r="V356" i="8"/>
  <c r="V27" i="8"/>
  <c r="V52" i="8"/>
  <c r="V298" i="8"/>
  <c r="AD298" i="8" s="1"/>
  <c r="R99" i="8"/>
  <c r="Z99" i="8" s="1"/>
  <c r="V436" i="8"/>
  <c r="V418" i="8"/>
  <c r="AB418" i="8" s="1"/>
  <c r="R412" i="8"/>
  <c r="Z412" i="8" s="1"/>
  <c r="V487" i="8"/>
  <c r="R38" i="8"/>
  <c r="Z38" i="8" s="1"/>
  <c r="V394" i="8"/>
  <c r="V102" i="8"/>
  <c r="R210" i="8"/>
  <c r="Z210" i="8" s="1"/>
  <c r="R116" i="8"/>
  <c r="Z116" i="8" s="1"/>
  <c r="R16" i="8"/>
  <c r="Z16" i="8" s="1"/>
  <c r="R75" i="8"/>
  <c r="Z75" i="8" s="1"/>
  <c r="R437" i="8"/>
  <c r="Z437" i="8" s="1"/>
  <c r="R365" i="8"/>
  <c r="Z365" i="8" s="1"/>
  <c r="V293" i="8"/>
  <c r="R488" i="8"/>
  <c r="Z488" i="8" s="1"/>
  <c r="R175" i="8"/>
  <c r="Z175" i="8" s="1"/>
  <c r="R204" i="8"/>
  <c r="Z204" i="8" s="1"/>
  <c r="V415" i="8"/>
  <c r="R361" i="8"/>
  <c r="Z361" i="8" s="1"/>
  <c r="V244" i="8"/>
  <c r="AD244" i="8" s="1"/>
  <c r="R137" i="8"/>
  <c r="Z137" i="8" s="1"/>
  <c r="R413" i="8"/>
  <c r="Z413" i="8" s="1"/>
  <c r="R277" i="8"/>
  <c r="Z277" i="8" s="1"/>
  <c r="V71" i="8"/>
  <c r="R138" i="8"/>
  <c r="Z138" i="8" s="1"/>
  <c r="V357" i="8"/>
  <c r="AB357" i="8" s="1"/>
  <c r="V234" i="8"/>
  <c r="R20" i="8"/>
  <c r="Z20" i="8" s="1"/>
  <c r="V279" i="8"/>
  <c r="R250" i="8"/>
  <c r="Z250" i="8" s="1"/>
  <c r="R119" i="8"/>
  <c r="Z119" i="8" s="1"/>
  <c r="R434" i="8"/>
  <c r="Z434" i="8" s="1"/>
  <c r="V271" i="8"/>
  <c r="AB271" i="8" s="1"/>
  <c r="R431" i="8"/>
  <c r="Z431" i="8" s="1"/>
  <c r="R492" i="8"/>
  <c r="Z492" i="8" s="1"/>
  <c r="V438" i="8"/>
  <c r="V316" i="8"/>
  <c r="R89" i="8"/>
  <c r="Z89" i="8" s="1"/>
  <c r="R225" i="8"/>
  <c r="Z225" i="8" s="1"/>
  <c r="R84" i="8"/>
  <c r="Z84" i="8" s="1"/>
  <c r="V377" i="8"/>
  <c r="R173" i="8"/>
  <c r="Z173" i="8" s="1"/>
  <c r="V409" i="8"/>
  <c r="AD409" i="8" s="1"/>
  <c r="R281" i="8"/>
  <c r="Z281" i="8" s="1"/>
  <c r="V364" i="8"/>
  <c r="R80" i="8"/>
  <c r="Z80" i="8" s="1"/>
  <c r="V263" i="8"/>
  <c r="V170" i="8"/>
  <c r="AD170" i="8" s="1"/>
  <c r="R360" i="8"/>
  <c r="Z360" i="8" s="1"/>
  <c r="V306" i="8"/>
  <c r="V55" i="8"/>
  <c r="AD55" i="8" s="1"/>
  <c r="R163" i="8"/>
  <c r="Z163" i="8" s="1"/>
  <c r="V475" i="8"/>
  <c r="R160" i="8"/>
  <c r="Z160" i="8" s="1"/>
  <c r="V401" i="8"/>
  <c r="R156" i="8"/>
  <c r="Z156" i="8" s="1"/>
  <c r="V144" i="8"/>
  <c r="V433" i="8"/>
  <c r="AB433" i="8" s="1"/>
  <c r="V460" i="8"/>
  <c r="AD460" i="8" s="1"/>
  <c r="V255" i="8"/>
  <c r="R486" i="8"/>
  <c r="Z486" i="8" s="1"/>
  <c r="V292" i="8"/>
  <c r="V381" i="8"/>
  <c r="R342" i="8"/>
  <c r="Z342" i="8" s="1"/>
  <c r="V171" i="8"/>
  <c r="AB171" i="8" s="1"/>
  <c r="V101" i="8"/>
  <c r="AB101" i="8" s="1"/>
  <c r="V99" i="8"/>
  <c r="R305" i="8"/>
  <c r="Z305" i="8" s="1"/>
  <c r="R203" i="8"/>
  <c r="Z203" i="8" s="1"/>
  <c r="V38" i="8"/>
  <c r="R394" i="8"/>
  <c r="Z394" i="8" s="1"/>
  <c r="R228" i="8"/>
  <c r="Z228" i="8" s="1"/>
  <c r="V288" i="8"/>
  <c r="AB288" i="8" s="1"/>
  <c r="R73" i="8"/>
  <c r="Z73" i="8" s="1"/>
  <c r="V466" i="8"/>
  <c r="AD466" i="8" s="1"/>
  <c r="V193" i="8"/>
  <c r="AD193" i="8" s="1"/>
  <c r="V112" i="8"/>
  <c r="V75" i="8"/>
  <c r="R321" i="8"/>
  <c r="Z321" i="8" s="1"/>
  <c r="V312" i="8"/>
  <c r="R62" i="8"/>
  <c r="Z62" i="8" s="1"/>
  <c r="V15" i="8"/>
  <c r="V215" i="8"/>
  <c r="V67" i="8"/>
  <c r="AB67" i="8" s="1"/>
  <c r="V363" i="8"/>
  <c r="V322" i="8"/>
  <c r="V408" i="8"/>
  <c r="AD408" i="8" s="1"/>
  <c r="V385" i="8"/>
  <c r="R64" i="8"/>
  <c r="Z64" i="8" s="1"/>
  <c r="V183" i="8"/>
  <c r="AB183" i="8" s="1"/>
  <c r="V369" i="8"/>
  <c r="R133" i="8"/>
  <c r="Z133" i="8" s="1"/>
  <c r="R391" i="8"/>
  <c r="Z391" i="8" s="1"/>
  <c r="R185" i="8"/>
  <c r="Z185" i="8" s="1"/>
  <c r="R282" i="8"/>
  <c r="Z282" i="8" s="1"/>
  <c r="R271" i="8"/>
  <c r="Z271" i="8" s="1"/>
  <c r="R117" i="8"/>
  <c r="Z117" i="8" s="1"/>
  <c r="R151" i="8"/>
  <c r="Z151" i="8" s="1"/>
  <c r="V431" i="8"/>
  <c r="R366" i="8"/>
  <c r="Z366" i="8" s="1"/>
  <c r="R262" i="8"/>
  <c r="Z262" i="8" s="1"/>
  <c r="R31" i="8"/>
  <c r="Z31" i="8" s="1"/>
  <c r="R316" i="8"/>
  <c r="Z316" i="8" s="1"/>
  <c r="R453" i="8"/>
  <c r="Z453" i="8" s="1"/>
  <c r="V166" i="8"/>
  <c r="AD166" i="8" s="1"/>
  <c r="R354" i="8"/>
  <c r="Z354" i="8" s="1"/>
  <c r="V339" i="8"/>
  <c r="AD339" i="8" s="1"/>
  <c r="R54" i="8"/>
  <c r="Z54" i="8" s="1"/>
  <c r="R242" i="8"/>
  <c r="Z242" i="8" s="1"/>
  <c r="V93" i="8"/>
  <c r="V173" i="8"/>
  <c r="R220" i="8"/>
  <c r="Z220" i="8" s="1"/>
  <c r="R191" i="8"/>
  <c r="Z191" i="8" s="1"/>
  <c r="R264" i="8"/>
  <c r="Z264" i="8" s="1"/>
  <c r="R278" i="8"/>
  <c r="Z278" i="8" s="1"/>
  <c r="V299" i="8"/>
  <c r="R231" i="8"/>
  <c r="Z231" i="8" s="1"/>
  <c r="V281" i="8"/>
  <c r="R263" i="8"/>
  <c r="Z263" i="8" s="1"/>
  <c r="R318" i="8"/>
  <c r="Z318" i="8" s="1"/>
  <c r="R170" i="8"/>
  <c r="Z170" i="8" s="1"/>
  <c r="R115" i="8"/>
  <c r="Z115" i="8" s="1"/>
  <c r="R306" i="8"/>
  <c r="Z306" i="8" s="1"/>
  <c r="R55" i="8"/>
  <c r="Z55" i="8" s="1"/>
  <c r="V28" i="8"/>
  <c r="V154" i="8"/>
  <c r="V122" i="8"/>
  <c r="AD122" i="8" s="1"/>
  <c r="V486" i="8"/>
  <c r="AB486" i="8" s="1"/>
  <c r="V214" i="8"/>
  <c r="AD214" i="8" s="1"/>
  <c r="V240" i="8"/>
  <c r="AD240" i="8" s="1"/>
  <c r="R468" i="8"/>
  <c r="Z468" i="8" s="1"/>
  <c r="V483" i="8"/>
  <c r="AB483" i="8" s="1"/>
  <c r="R200" i="8"/>
  <c r="Z200" i="8" s="1"/>
  <c r="R439" i="8"/>
  <c r="Z439" i="8" s="1"/>
  <c r="V29" i="8"/>
  <c r="R174" i="8"/>
  <c r="Z174" i="8" s="1"/>
  <c r="R69" i="8"/>
  <c r="Z69" i="8" s="1"/>
  <c r="R207" i="8"/>
  <c r="Z207" i="8" s="1"/>
  <c r="V31" i="8"/>
  <c r="V338" i="8"/>
  <c r="V264" i="8"/>
  <c r="V121" i="8"/>
  <c r="R232" i="8"/>
  <c r="Z232" i="8" s="1"/>
  <c r="V318" i="8"/>
  <c r="R150" i="8"/>
  <c r="Z150" i="8" s="1"/>
  <c r="R268" i="8"/>
  <c r="Z268" i="8" s="1"/>
  <c r="V330" i="8"/>
  <c r="AD330" i="8" s="1"/>
  <c r="V106" i="8"/>
  <c r="V273" i="8"/>
  <c r="R67" i="8"/>
  <c r="Z67" i="8" s="1"/>
  <c r="V64" i="8"/>
  <c r="AD64" i="8" s="1"/>
  <c r="V136" i="8"/>
  <c r="AD136" i="8" s="1"/>
  <c r="R132" i="8"/>
  <c r="Z132" i="8" s="1"/>
  <c r="V481" i="8"/>
  <c r="AB481" i="8" s="1"/>
  <c r="V270" i="8"/>
  <c r="AD270" i="8" s="1"/>
  <c r="R344" i="8"/>
  <c r="Z344" i="8" s="1"/>
  <c r="V224" i="8"/>
  <c r="V337" i="8"/>
  <c r="V205" i="8"/>
  <c r="AD205" i="8" s="1"/>
  <c r="V350" i="8"/>
  <c r="R154" i="8"/>
  <c r="Z154" i="8" s="1"/>
  <c r="V384" i="8"/>
  <c r="AB384" i="8" s="1"/>
  <c r="V226" i="8"/>
  <c r="V291" i="8"/>
  <c r="R451" i="8"/>
  <c r="Z451" i="8" s="1"/>
  <c r="R149" i="8"/>
  <c r="Z149" i="8" s="1"/>
  <c r="R489" i="8"/>
  <c r="Z489" i="8" s="1"/>
  <c r="R482" i="8"/>
  <c r="Z482" i="8" s="1"/>
  <c r="V223" i="8"/>
  <c r="R493" i="8"/>
  <c r="Z493" i="8" s="1"/>
  <c r="R258" i="8"/>
  <c r="Z258" i="8" s="1"/>
  <c r="V309" i="8"/>
  <c r="R43" i="8"/>
  <c r="Z43" i="8" s="1"/>
  <c r="V57" i="8"/>
  <c r="R481" i="8"/>
  <c r="Z481" i="8" s="1"/>
  <c r="R375" i="8"/>
  <c r="Z375" i="8" s="1"/>
  <c r="R336" i="8"/>
  <c r="Z336" i="8" s="1"/>
  <c r="V47" i="8"/>
  <c r="AB47" i="8" s="1"/>
  <c r="V422" i="8"/>
  <c r="AD422" i="8" s="1"/>
  <c r="R190" i="8"/>
  <c r="Z190" i="8" s="1"/>
  <c r="R337" i="8"/>
  <c r="Z337" i="8" s="1"/>
  <c r="V107" i="8"/>
  <c r="V242" i="8"/>
  <c r="R297" i="8"/>
  <c r="Z297" i="8" s="1"/>
  <c r="R314" i="8"/>
  <c r="Z314" i="8" s="1"/>
  <c r="V256" i="8"/>
  <c r="AB256" i="8" s="1"/>
  <c r="R350" i="8"/>
  <c r="Z350" i="8" s="1"/>
  <c r="V480" i="8"/>
  <c r="R392" i="8"/>
  <c r="Z392" i="8" s="1"/>
  <c r="R313" i="8"/>
  <c r="Z313" i="8" s="1"/>
  <c r="R320" i="8"/>
  <c r="Z320" i="8" s="1"/>
  <c r="R236" i="8"/>
  <c r="Z236" i="8" s="1"/>
  <c r="V8" i="8"/>
  <c r="R276" i="8"/>
  <c r="Z276" i="8" s="1"/>
  <c r="V463" i="8"/>
  <c r="AD463" i="8" s="1"/>
  <c r="V48" i="8"/>
  <c r="R32" i="8"/>
  <c r="Z32" i="8" s="1"/>
  <c r="V161" i="8"/>
  <c r="R358" i="8"/>
  <c r="Z358" i="8" s="1"/>
  <c r="R384" i="8"/>
  <c r="Z384" i="8" s="1"/>
  <c r="V201" i="8"/>
  <c r="R125" i="8"/>
  <c r="Z125" i="8" s="1"/>
  <c r="R44" i="8"/>
  <c r="Z44" i="8" s="1"/>
  <c r="R372" i="8"/>
  <c r="Z372" i="8" s="1"/>
  <c r="R458" i="8"/>
  <c r="Z458" i="8" s="1"/>
  <c r="R196" i="8"/>
  <c r="Z196" i="8" s="1"/>
  <c r="V343" i="8"/>
  <c r="V283" i="8"/>
  <c r="R52" i="8"/>
  <c r="Z52" i="8" s="1"/>
  <c r="R98" i="8"/>
  <c r="Z98" i="8" s="1"/>
  <c r="R341" i="8"/>
  <c r="Z341" i="8" s="1"/>
  <c r="V469" i="8"/>
  <c r="V74" i="8"/>
  <c r="V180" i="8"/>
  <c r="V340" i="8"/>
  <c r="V149" i="8"/>
  <c r="V416" i="8"/>
  <c r="AB416" i="8" s="1"/>
  <c r="R355" i="8"/>
  <c r="Z355" i="8" s="1"/>
  <c r="R50" i="8"/>
  <c r="Z50" i="8" s="1"/>
  <c r="V307" i="8"/>
  <c r="V482" i="8"/>
  <c r="V59" i="8"/>
  <c r="R345" i="8"/>
  <c r="Z345" i="8" s="1"/>
  <c r="R266" i="8"/>
  <c r="Z266" i="8" s="1"/>
  <c r="V462" i="8"/>
  <c r="AD462" i="8" s="1"/>
  <c r="R162" i="8"/>
  <c r="Z162" i="8" s="1"/>
  <c r="R421" i="8"/>
  <c r="Z421" i="8" s="1"/>
  <c r="V17" i="8"/>
  <c r="AB17" i="8" s="1"/>
  <c r="V390" i="8"/>
  <c r="V258" i="8"/>
  <c r="R165" i="8"/>
  <c r="Z165" i="8" s="1"/>
  <c r="R286" i="8"/>
  <c r="Z286" i="8" s="1"/>
  <c r="R202" i="8"/>
  <c r="Z202" i="8" s="1"/>
  <c r="V36" i="8"/>
  <c r="AB36" i="8" s="1"/>
  <c r="R300" i="8"/>
  <c r="Z300" i="8" s="1"/>
  <c r="R39" i="8"/>
  <c r="Z39" i="8" s="1"/>
  <c r="R78" i="8"/>
  <c r="Z78" i="8" s="1"/>
  <c r="V68" i="8"/>
  <c r="V46" i="8"/>
  <c r="AD46" i="8" s="1"/>
  <c r="R241" i="8"/>
  <c r="Z241" i="8" s="1"/>
  <c r="R209" i="8"/>
  <c r="Z209" i="8" s="1"/>
  <c r="V77" i="8"/>
  <c r="AB77" i="8" s="1"/>
  <c r="R478" i="8"/>
  <c r="Z478" i="8" s="1"/>
  <c r="V43" i="8"/>
  <c r="AB43" i="8" s="1"/>
  <c r="R110" i="8"/>
  <c r="Z110" i="8" s="1"/>
  <c r="R494" i="8"/>
  <c r="Z494" i="8" s="1"/>
  <c r="R111" i="8"/>
  <c r="Z111" i="8" s="1"/>
  <c r="V440" i="8"/>
  <c r="V85" i="8"/>
  <c r="AD85" i="8" s="1"/>
  <c r="V132" i="8"/>
  <c r="AB132" i="8" s="1"/>
  <c r="V218" i="8"/>
  <c r="AD218" i="8" s="1"/>
  <c r="V105" i="8"/>
  <c r="R227" i="8"/>
  <c r="Z227" i="8" s="1"/>
  <c r="V336" i="8"/>
  <c r="V91" i="8"/>
  <c r="AD91" i="8" s="1"/>
  <c r="R454" i="8"/>
  <c r="Z454" i="8" s="1"/>
  <c r="R22" i="8"/>
  <c r="Z22" i="8" s="1"/>
  <c r="V19" i="8"/>
  <c r="R248" i="8"/>
  <c r="Z248" i="8" s="1"/>
  <c r="R247" i="8"/>
  <c r="Z247" i="8" s="1"/>
  <c r="R120" i="8"/>
  <c r="Z120" i="8" s="1"/>
  <c r="V190" i="8"/>
  <c r="V82" i="8"/>
  <c r="R97" i="8"/>
  <c r="Z97" i="8" s="1"/>
  <c r="V280" i="8"/>
  <c r="AB280" i="8" s="1"/>
  <c r="R205" i="8"/>
  <c r="Z205" i="8" s="1"/>
  <c r="V56" i="8"/>
  <c r="V236" i="8"/>
  <c r="R152" i="8"/>
  <c r="Z152" i="8" s="1"/>
  <c r="V464" i="8"/>
  <c r="R140" i="8"/>
  <c r="Z140" i="8" s="1"/>
  <c r="R408" i="8"/>
  <c r="Z408" i="8" s="1"/>
  <c r="V148" i="8"/>
  <c r="R279" i="8"/>
  <c r="Z279" i="8" s="1"/>
  <c r="V391" i="8"/>
  <c r="R91" i="8"/>
  <c r="Z91" i="8" s="1"/>
  <c r="R224" i="8"/>
  <c r="Z224" i="8" s="1"/>
  <c r="R49" i="8"/>
  <c r="Z49" i="8" s="1"/>
  <c r="R396" i="8"/>
  <c r="Z396" i="8" s="1"/>
  <c r="V358" i="8"/>
  <c r="R484" i="8"/>
  <c r="Z484" i="8" s="1"/>
  <c r="V129" i="8"/>
  <c r="R448" i="8"/>
  <c r="Z448" i="8" s="1"/>
  <c r="V456" i="8"/>
  <c r="AD456" i="8" s="1"/>
  <c r="R238" i="8"/>
  <c r="Z238" i="8" s="1"/>
  <c r="V287" i="8"/>
  <c r="R385" i="8"/>
  <c r="Z385" i="8" s="1"/>
  <c r="R57" i="8"/>
  <c r="Z57" i="8" s="1"/>
  <c r="V397" i="8"/>
  <c r="AB397" i="8" s="1"/>
  <c r="V405" i="8"/>
  <c r="R440" i="8"/>
  <c r="Z440" i="8" s="1"/>
  <c r="R371" i="8"/>
  <c r="Z371" i="8" s="1"/>
  <c r="V375" i="8"/>
  <c r="V373" i="8"/>
  <c r="V399" i="8"/>
  <c r="AD399" i="8" s="1"/>
  <c r="V152" i="8"/>
  <c r="V150" i="8"/>
  <c r="AB150" i="8" s="1"/>
  <c r="V156" i="8"/>
  <c r="AB156" i="8" s="1"/>
  <c r="V34" i="8"/>
  <c r="R23" i="8"/>
  <c r="Z23" i="8" s="1"/>
  <c r="V275" i="8"/>
  <c r="R352" i="8"/>
  <c r="Z352" i="8" s="1"/>
  <c r="V311" i="8"/>
  <c r="AD311" i="8" s="1"/>
  <c r="V69" i="8"/>
  <c r="R148" i="8"/>
  <c r="Z148" i="8" s="1"/>
  <c r="R70" i="8"/>
  <c r="Z70" i="8" s="1"/>
  <c r="R477" i="8"/>
  <c r="Z477" i="8" s="1"/>
  <c r="R243" i="8"/>
  <c r="Z243" i="8" s="1"/>
  <c r="V265" i="8"/>
  <c r="R221" i="8"/>
  <c r="Z221" i="8" s="1"/>
  <c r="V22" i="8"/>
  <c r="AD22" i="8" s="1"/>
  <c r="V134" i="8"/>
  <c r="V120" i="8"/>
  <c r="V145" i="8"/>
  <c r="V328" i="8"/>
  <c r="V396" i="8"/>
  <c r="AB396" i="8" s="1"/>
  <c r="R161" i="8"/>
  <c r="Z161" i="8" s="1"/>
  <c r="R289" i="8"/>
  <c r="Z289" i="8" s="1"/>
  <c r="R249" i="8"/>
  <c r="Z249" i="8" s="1"/>
  <c r="R346" i="8"/>
  <c r="Z346" i="8" s="1"/>
  <c r="R172" i="8"/>
  <c r="Z172" i="8" s="1"/>
  <c r="V125" i="8"/>
  <c r="AB125" i="8" s="1"/>
  <c r="V351" i="8"/>
  <c r="R257" i="8"/>
  <c r="Z257" i="8" s="1"/>
  <c r="R425" i="8"/>
  <c r="Z425" i="8" s="1"/>
  <c r="R283" i="8"/>
  <c r="Z283" i="8" s="1"/>
  <c r="R127" i="8"/>
  <c r="Z127" i="8" s="1"/>
  <c r="V341" i="8"/>
  <c r="R34" i="8"/>
  <c r="Z34" i="8" s="1"/>
  <c r="R368" i="8"/>
  <c r="Z368" i="8" s="1"/>
  <c r="R194" i="8"/>
  <c r="Z194" i="8" s="1"/>
  <c r="R74" i="8"/>
  <c r="Z74" i="8" s="1"/>
  <c r="V402" i="8"/>
  <c r="R340" i="8"/>
  <c r="Z340" i="8" s="1"/>
  <c r="R487" i="8"/>
  <c r="Z487" i="8" s="1"/>
  <c r="V40" i="8"/>
  <c r="R307" i="8"/>
  <c r="Z307" i="8" s="1"/>
  <c r="R275" i="8"/>
  <c r="Z275" i="8" s="1"/>
  <c r="V210" i="8"/>
  <c r="V398" i="8"/>
  <c r="AB398" i="8" s="1"/>
  <c r="V437" i="8"/>
  <c r="V380" i="8"/>
  <c r="R178" i="8"/>
  <c r="Z178" i="8" s="1"/>
  <c r="R491" i="8"/>
  <c r="Z491" i="8" s="1"/>
  <c r="R335" i="8"/>
  <c r="Z335" i="8" s="1"/>
  <c r="R233" i="8"/>
  <c r="Z233" i="8" s="1"/>
  <c r="V300" i="8"/>
  <c r="AB300" i="8" s="1"/>
  <c r="R68" i="8"/>
  <c r="Z68" i="8" s="1"/>
  <c r="V45" i="8"/>
  <c r="R18" i="8"/>
  <c r="Z18" i="8" s="1"/>
  <c r="R95" i="8"/>
  <c r="Z95" i="8" s="1"/>
  <c r="V442" i="8"/>
  <c r="V490" i="8"/>
  <c r="AB490" i="8" s="1"/>
  <c r="V111" i="8"/>
  <c r="AB111" i="8" s="1"/>
  <c r="V386" i="8"/>
  <c r="AD386" i="8" s="1"/>
  <c r="V25" i="8"/>
  <c r="AD25" i="8" s="1"/>
  <c r="R304" i="8"/>
  <c r="Z304" i="8" s="1"/>
  <c r="R265" i="8"/>
  <c r="Z265" i="8" s="1"/>
  <c r="V12" i="8"/>
  <c r="R476" i="8"/>
  <c r="Z476" i="8" s="1"/>
  <c r="V382" i="8"/>
  <c r="AD382" i="8" s="1"/>
  <c r="R325" i="8"/>
  <c r="Z325" i="8" s="1"/>
  <c r="V310" i="8"/>
  <c r="R254" i="8"/>
  <c r="Z254" i="8" s="1"/>
  <c r="V198" i="8"/>
  <c r="R87" i="8"/>
  <c r="Z87" i="8" s="1"/>
  <c r="R158" i="8"/>
  <c r="Z158" i="8" s="1"/>
  <c r="R435" i="8"/>
  <c r="Z435" i="8" s="1"/>
  <c r="V199" i="8"/>
  <c r="V13" i="8"/>
  <c r="R420" i="8"/>
  <c r="Z420" i="8" s="1"/>
  <c r="R457" i="8"/>
  <c r="Z457" i="8" s="1"/>
  <c r="V32" i="8"/>
  <c r="AB32" i="8" s="1"/>
  <c r="R460" i="8"/>
  <c r="Z460" i="8" s="1"/>
  <c r="V206" i="8"/>
  <c r="V211" i="8"/>
  <c r="AD211" i="8" s="1"/>
  <c r="R452" i="8"/>
  <c r="Z452" i="8" s="1"/>
  <c r="V21" i="8"/>
  <c r="AB21" i="8" s="1"/>
  <c r="R177" i="8"/>
  <c r="Z177" i="8" s="1"/>
  <c r="R415" i="8"/>
  <c r="Z415" i="8" s="1"/>
  <c r="V83" i="8"/>
  <c r="R397" i="8"/>
  <c r="Z397" i="8" s="1"/>
  <c r="V441" i="8"/>
  <c r="R373" i="8"/>
  <c r="Z373" i="8" s="1"/>
  <c r="R270" i="8"/>
  <c r="Z270" i="8" s="1"/>
  <c r="V220" i="8"/>
  <c r="V231" i="8"/>
  <c r="V392" i="8"/>
  <c r="V445" i="8"/>
  <c r="R381" i="8"/>
  <c r="Z381" i="8" s="1"/>
  <c r="R90" i="8"/>
  <c r="Z90" i="8" s="1"/>
  <c r="R112" i="8"/>
  <c r="Z112" i="8" s="1"/>
  <c r="V33" i="8"/>
  <c r="R215" i="8"/>
  <c r="Z215" i="8" s="1"/>
  <c r="V494" i="8"/>
  <c r="V185" i="8"/>
  <c r="V243" i="8"/>
  <c r="V248" i="8"/>
  <c r="V245" i="8"/>
  <c r="AB245" i="8" s="1"/>
  <c r="R8" i="8"/>
  <c r="Z8" i="8" s="1"/>
  <c r="R414" i="8"/>
  <c r="Z414" i="8" s="1"/>
  <c r="V446" i="8"/>
  <c r="V346" i="8"/>
  <c r="AD346" i="8" s="1"/>
  <c r="R329" i="8"/>
  <c r="Z329" i="8" s="1"/>
  <c r="R180" i="8"/>
  <c r="Z180" i="8" s="1"/>
  <c r="R416" i="8"/>
  <c r="Z416" i="8" s="1"/>
  <c r="R398" i="8"/>
  <c r="Z398" i="8" s="1"/>
  <c r="V491" i="8"/>
  <c r="AB491" i="8" s="1"/>
  <c r="V202" i="8"/>
  <c r="AB202" i="8" s="1"/>
  <c r="R376" i="8"/>
  <c r="Z376" i="8" s="1"/>
  <c r="R146" i="8"/>
  <c r="Z146" i="8" s="1"/>
  <c r="V92" i="8"/>
  <c r="AB92" i="8" s="1"/>
  <c r="V18" i="8"/>
  <c r="R77" i="8"/>
  <c r="Z77" i="8" s="1"/>
  <c r="R83" i="8"/>
  <c r="Z83" i="8" s="1"/>
  <c r="R105" i="8"/>
  <c r="Z105" i="8" s="1"/>
  <c r="V454" i="8"/>
  <c r="AB454" i="8" s="1"/>
  <c r="R367" i="8"/>
  <c r="Z367" i="8" s="1"/>
  <c r="R328" i="8"/>
  <c r="Z328" i="8" s="1"/>
  <c r="V414" i="8"/>
  <c r="R184" i="8"/>
  <c r="Z184" i="8" s="1"/>
  <c r="V160" i="8"/>
  <c r="AB160" i="8" s="1"/>
  <c r="R28" i="8"/>
  <c r="Z28" i="8" s="1"/>
  <c r="V249" i="8"/>
  <c r="R401" i="8"/>
  <c r="Z401" i="8" s="1"/>
  <c r="V172" i="8"/>
  <c r="R144" i="8"/>
  <c r="Z144" i="8" s="1"/>
  <c r="V400" i="8"/>
  <c r="V484" i="8"/>
  <c r="R157" i="8"/>
  <c r="Z157" i="8" s="1"/>
  <c r="V257" i="8"/>
  <c r="V235" i="8"/>
  <c r="R356" i="8"/>
  <c r="Z356" i="8" s="1"/>
  <c r="R298" i="8"/>
  <c r="Z298" i="8" s="1"/>
  <c r="V368" i="8"/>
  <c r="R402" i="8"/>
  <c r="Z402" i="8" s="1"/>
  <c r="V30" i="8"/>
  <c r="R40" i="8"/>
  <c r="Z40" i="8" s="1"/>
  <c r="R102" i="8"/>
  <c r="Z102" i="8" s="1"/>
  <c r="R288" i="8"/>
  <c r="Z288" i="8" s="1"/>
  <c r="R473" i="8"/>
  <c r="Z473" i="8" s="1"/>
  <c r="V116" i="8"/>
  <c r="AB116" i="8" s="1"/>
  <c r="V200" i="8"/>
  <c r="AB200" i="8" s="1"/>
  <c r="V365" i="8"/>
  <c r="R393" i="8"/>
  <c r="Z393" i="8" s="1"/>
  <c r="V178" i="8"/>
  <c r="V488" i="8"/>
  <c r="R390" i="8"/>
  <c r="Z390" i="8" s="1"/>
  <c r="V175" i="8"/>
  <c r="V335" i="8"/>
  <c r="AB335" i="8" s="1"/>
  <c r="V63" i="8"/>
  <c r="R261" i="8"/>
  <c r="Z261" i="8" s="1"/>
  <c r="R495" i="8"/>
  <c r="Z495" i="8" s="1"/>
  <c r="V404" i="8"/>
  <c r="V222" i="8"/>
  <c r="AD222" i="8" s="1"/>
  <c r="R470" i="8"/>
  <c r="Z470" i="8" s="1"/>
  <c r="R389" i="8"/>
  <c r="Z389" i="8" s="1"/>
  <c r="V155" i="8"/>
  <c r="AB155" i="8" s="1"/>
  <c r="R234" i="8"/>
  <c r="Z234" i="8" s="1"/>
  <c r="R139" i="8"/>
  <c r="Z139" i="8" s="1"/>
  <c r="R359" i="8"/>
  <c r="Z359" i="8" s="1"/>
  <c r="V126" i="8"/>
  <c r="V250" i="8"/>
  <c r="AB250" i="8" s="1"/>
  <c r="V66" i="8"/>
  <c r="R72" i="8"/>
  <c r="Z72" i="8" s="1"/>
  <c r="V467" i="8"/>
  <c r="V479" i="8"/>
  <c r="R114" i="8"/>
  <c r="Z114" i="8" s="1"/>
  <c r="V182" i="8"/>
  <c r="V251" i="8"/>
  <c r="V225" i="8"/>
  <c r="AB225" i="8" s="1"/>
  <c r="V474" i="8"/>
  <c r="R88" i="8"/>
  <c r="Z88" i="8" s="1"/>
  <c r="V274" i="8"/>
  <c r="V294" i="8"/>
  <c r="V108" i="8"/>
  <c r="R189" i="8"/>
  <c r="Z189" i="8" s="1"/>
  <c r="V153" i="8"/>
  <c r="R348" i="8"/>
  <c r="Z348" i="8" s="1"/>
  <c r="V378" i="8"/>
  <c r="R445" i="8"/>
  <c r="Z445" i="8" s="1"/>
  <c r="V184" i="8"/>
  <c r="AB184" i="8" s="1"/>
  <c r="R446" i="8"/>
  <c r="Z446" i="8" s="1"/>
  <c r="R303" i="8"/>
  <c r="Z303" i="8" s="1"/>
  <c r="R201" i="8"/>
  <c r="Z201" i="8" s="1"/>
  <c r="R122" i="8"/>
  <c r="Z122" i="8" s="1"/>
  <c r="V157" i="8"/>
  <c r="R351" i="8"/>
  <c r="Z351" i="8" s="1"/>
  <c r="R292" i="8"/>
  <c r="Z292" i="8" s="1"/>
  <c r="V142" i="8"/>
  <c r="AB142" i="8" s="1"/>
  <c r="R206" i="8"/>
  <c r="Z206" i="8" s="1"/>
  <c r="V326" i="8"/>
  <c r="AB326" i="8" s="1"/>
  <c r="V458" i="8"/>
  <c r="AB458" i="8" s="1"/>
  <c r="V10" i="8"/>
  <c r="V196" i="8"/>
  <c r="AB196" i="8" s="1"/>
  <c r="R123" i="8"/>
  <c r="Z123" i="8" s="1"/>
  <c r="R35" i="8"/>
  <c r="Z35" i="8" s="1"/>
  <c r="V169" i="8"/>
  <c r="V127" i="8"/>
  <c r="R461" i="8"/>
  <c r="Z461" i="8" s="1"/>
  <c r="R252" i="8"/>
  <c r="Z252" i="8" s="1"/>
  <c r="V212" i="8"/>
  <c r="V239" i="8"/>
  <c r="R411" i="8"/>
  <c r="Z411" i="8" s="1"/>
  <c r="V23" i="8"/>
  <c r="R308" i="8"/>
  <c r="Z308" i="8" s="1"/>
  <c r="V489" i="8"/>
  <c r="V230" i="8"/>
  <c r="AB230" i="8" s="1"/>
  <c r="V355" i="8"/>
  <c r="V128" i="8"/>
  <c r="V50" i="8"/>
  <c r="V419" i="8"/>
  <c r="V324" i="8"/>
  <c r="AB324" i="8" s="1"/>
  <c r="V284" i="8"/>
  <c r="R223" i="8"/>
  <c r="Z223" i="8" s="1"/>
  <c r="R269" i="8"/>
  <c r="Z269" i="8" s="1"/>
  <c r="R59" i="8"/>
  <c r="Z59" i="8" s="1"/>
  <c r="V473" i="8"/>
  <c r="V455" i="8"/>
  <c r="AD455" i="8" s="1"/>
  <c r="V266" i="8"/>
  <c r="V16" i="8"/>
  <c r="AD16" i="8" s="1"/>
  <c r="R462" i="8"/>
  <c r="Z462" i="8" s="1"/>
  <c r="V428" i="8"/>
  <c r="AD428" i="8" s="1"/>
  <c r="V162" i="8"/>
  <c r="AD162" i="8" s="1"/>
  <c r="R176" i="8"/>
  <c r="Z176" i="8" s="1"/>
  <c r="R17" i="8"/>
  <c r="Z17" i="8" s="1"/>
  <c r="R65" i="8"/>
  <c r="Z65" i="8" s="1"/>
  <c r="V493" i="8"/>
  <c r="V362" i="8"/>
  <c r="V465" i="8"/>
  <c r="V286" i="8"/>
  <c r="AD286" i="8" s="1"/>
  <c r="R317" i="8"/>
  <c r="Z317" i="8" s="1"/>
  <c r="R311" i="8"/>
  <c r="Z311" i="8" s="1"/>
  <c r="R60" i="8"/>
  <c r="Z60" i="8" s="1"/>
  <c r="R273" i="8"/>
  <c r="Z273" i="8" s="1"/>
  <c r="V376" i="8"/>
  <c r="R36" i="8"/>
  <c r="Z36" i="8" s="1"/>
  <c r="R192" i="8"/>
  <c r="Z192" i="8" s="1"/>
  <c r="V78" i="8"/>
  <c r="AB78" i="8" s="1"/>
  <c r="V26" i="8"/>
  <c r="AB26" i="8" s="1"/>
  <c r="V204" i="8"/>
  <c r="V485" i="8"/>
  <c r="R429" i="8"/>
  <c r="Z429" i="8" s="1"/>
  <c r="R42" i="8"/>
  <c r="Z42" i="8" s="1"/>
  <c r="V9" i="8"/>
  <c r="V413" i="8"/>
  <c r="AB413" i="8" s="1"/>
  <c r="R267" i="8"/>
  <c r="Z267" i="8" s="1"/>
  <c r="V427" i="8"/>
  <c r="AB427" i="8" s="1"/>
  <c r="V138" i="8"/>
  <c r="R183" i="8"/>
  <c r="Z183" i="8" s="1"/>
  <c r="R155" i="8"/>
  <c r="Z155" i="8" s="1"/>
  <c r="V285" i="8"/>
  <c r="AD285" i="8" s="1"/>
  <c r="V181" i="8"/>
  <c r="R136" i="8"/>
  <c r="Z136" i="8" s="1"/>
  <c r="V237" i="8"/>
  <c r="AD237" i="8" s="1"/>
  <c r="R405" i="8"/>
  <c r="Z405" i="8" s="1"/>
  <c r="R126" i="8"/>
  <c r="Z126" i="8" s="1"/>
  <c r="V133" i="8"/>
  <c r="V296" i="8"/>
  <c r="V282" i="8"/>
  <c r="V197" i="8"/>
  <c r="V434" i="8"/>
  <c r="AB434" i="8" s="1"/>
  <c r="V443" i="8"/>
  <c r="V472" i="8"/>
  <c r="AB472" i="8" s="1"/>
  <c r="R441" i="8"/>
  <c r="Z441" i="8" s="1"/>
  <c r="V315" i="8"/>
  <c r="V366" i="8"/>
  <c r="R467" i="8"/>
  <c r="Z467" i="8" s="1"/>
  <c r="V262" i="8"/>
  <c r="AB262" i="8" s="1"/>
  <c r="V492" i="8"/>
  <c r="V295" i="8"/>
  <c r="V259" i="8"/>
  <c r="AB259" i="8" s="1"/>
  <c r="R182" i="8"/>
  <c r="Z182" i="8" s="1"/>
  <c r="V453" i="8"/>
  <c r="V367" i="8"/>
  <c r="V89" i="8"/>
  <c r="R51" i="8"/>
  <c r="Z51" i="8" s="1"/>
  <c r="R166" i="8"/>
  <c r="Z166" i="8" s="1"/>
  <c r="V325" i="8"/>
  <c r="AD325" i="8" s="1"/>
  <c r="R310" i="8"/>
  <c r="Z310" i="8" s="1"/>
  <c r="V344" i="8"/>
  <c r="V354" i="8"/>
  <c r="V410" i="8"/>
  <c r="R339" i="8"/>
  <c r="Z339" i="8" s="1"/>
  <c r="V54" i="8"/>
  <c r="R135" i="8"/>
  <c r="Z135" i="8" s="1"/>
  <c r="V49" i="8"/>
  <c r="R93" i="8"/>
  <c r="Z93" i="8" s="1"/>
  <c r="V213" i="8"/>
  <c r="V191" i="8"/>
  <c r="V103" i="8"/>
  <c r="R94" i="8"/>
  <c r="Z94" i="8" s="1"/>
  <c r="R299" i="8"/>
  <c r="Z299" i="8" s="1"/>
  <c r="R407" i="8"/>
  <c r="Z407" i="8" s="1"/>
  <c r="R121" i="8"/>
  <c r="Z121" i="8" s="1"/>
  <c r="V388" i="8"/>
  <c r="V395" i="8"/>
  <c r="V11" i="8"/>
  <c r="R364" i="8"/>
  <c r="Z364" i="8" s="1"/>
  <c r="R347" i="8"/>
  <c r="Z347" i="8" s="1"/>
  <c r="R168" i="8"/>
  <c r="Z168" i="8" s="1"/>
  <c r="R370" i="8"/>
  <c r="Z370" i="8" s="1"/>
  <c r="V131" i="8"/>
  <c r="AD131" i="8" s="1"/>
  <c r="V14" i="8"/>
  <c r="V115" i="8"/>
  <c r="R58" i="8"/>
  <c r="Z58" i="8" s="1"/>
  <c r="R291" i="8"/>
  <c r="Z291" i="8" s="1"/>
  <c r="V141" i="8"/>
  <c r="AD141" i="8" s="1"/>
  <c r="V123" i="8"/>
  <c r="AB123" i="8" s="1"/>
  <c r="V35" i="8"/>
  <c r="AB35" i="8" s="1"/>
  <c r="V331" i="8"/>
  <c r="AD331" i="8" s="1"/>
  <c r="V98" i="8"/>
  <c r="R290" i="8"/>
  <c r="Z290" i="8" s="1"/>
  <c r="R471" i="8"/>
  <c r="Z471" i="8" s="1"/>
  <c r="V451" i="8"/>
  <c r="V252" i="8"/>
  <c r="AB252" i="8" s="1"/>
  <c r="R430" i="8"/>
  <c r="Z430" i="8" s="1"/>
  <c r="R469" i="8"/>
  <c r="Z469" i="8" s="1"/>
  <c r="R212" i="8"/>
  <c r="Z212" i="8" s="1"/>
  <c r="V305" i="8"/>
  <c r="AB305" i="8" s="1"/>
  <c r="R239" i="8"/>
  <c r="Z239" i="8" s="1"/>
  <c r="V268" i="8"/>
  <c r="V140" i="8"/>
  <c r="V411" i="8"/>
  <c r="AB411" i="8" s="1"/>
  <c r="V383" i="8"/>
  <c r="R423" i="8"/>
  <c r="Z423" i="8" s="1"/>
  <c r="R483" i="8"/>
  <c r="Z483" i="8" s="1"/>
  <c r="V327" i="8"/>
  <c r="R167" i="8"/>
  <c r="Z167" i="8" s="1"/>
  <c r="R449" i="8"/>
  <c r="Z449" i="8" s="1"/>
  <c r="R324" i="8"/>
  <c r="Z324" i="8" s="1"/>
  <c r="R284" i="8"/>
  <c r="Z284" i="8" s="1"/>
  <c r="R330" i="8"/>
  <c r="Z330" i="8" s="1"/>
  <c r="V269" i="8"/>
  <c r="R124" i="8"/>
  <c r="Z124" i="8" s="1"/>
  <c r="V61" i="8"/>
  <c r="AB61" i="8" s="1"/>
  <c r="R455" i="8"/>
  <c r="Z455" i="8" s="1"/>
  <c r="V96" i="8"/>
  <c r="R37" i="8"/>
  <c r="Z37" i="8" s="1"/>
  <c r="V421" i="8"/>
  <c r="AD421" i="8" s="1"/>
  <c r="V238" i="8"/>
  <c r="AB238" i="8" s="1"/>
  <c r="V76" i="8"/>
  <c r="V387" i="8"/>
  <c r="R380" i="8"/>
  <c r="Z380" i="8" s="1"/>
  <c r="V406" i="8"/>
  <c r="V432" i="8"/>
  <c r="V352" i="8"/>
  <c r="V165" i="8"/>
  <c r="R106" i="8"/>
  <c r="Z106" i="8" s="1"/>
  <c r="V260" i="8"/>
  <c r="R444" i="8"/>
  <c r="Z444" i="8" s="1"/>
  <c r="V192" i="8"/>
  <c r="AD192" i="8" s="1"/>
  <c r="V39" i="8"/>
  <c r="AD39" i="8" s="1"/>
  <c r="V24" i="8"/>
  <c r="V495" i="8"/>
  <c r="AD495" i="8" s="1"/>
  <c r="V179" i="8"/>
  <c r="R322" i="8"/>
  <c r="Z322" i="8" s="1"/>
  <c r="R244" i="8"/>
  <c r="Z244" i="8" s="1"/>
  <c r="R485" i="8"/>
  <c r="Z485" i="8" s="1"/>
  <c r="V41" i="8"/>
  <c r="AB41" i="8" s="1"/>
  <c r="V186" i="8"/>
  <c r="V450" i="8"/>
  <c r="V147" i="8"/>
  <c r="V195" i="8"/>
  <c r="AD195" i="8" s="1"/>
  <c r="V470" i="8"/>
  <c r="AB470" i="8" s="1"/>
  <c r="R104" i="8"/>
  <c r="Z104" i="8" s="1"/>
  <c r="R302" i="8"/>
  <c r="Z302" i="8" s="1"/>
  <c r="V267" i="8"/>
  <c r="V272" i="8"/>
  <c r="V379" i="8"/>
  <c r="V389" i="8"/>
  <c r="R357" i="8"/>
  <c r="Z357" i="8" s="1"/>
  <c r="R369" i="8"/>
  <c r="Z369" i="8" s="1"/>
  <c r="R237" i="8"/>
  <c r="Z237" i="8" s="1"/>
  <c r="R332" i="8"/>
  <c r="Z332" i="8" s="1"/>
  <c r="V359" i="8"/>
  <c r="AB359" i="8" s="1"/>
  <c r="R118" i="8"/>
  <c r="Z118" i="8" s="1"/>
  <c r="V72" i="8"/>
  <c r="R386" i="8"/>
  <c r="Z386" i="8" s="1"/>
  <c r="V119" i="8"/>
  <c r="R334" i="8"/>
  <c r="Z334" i="8" s="1"/>
  <c r="R443" i="8"/>
  <c r="Z443" i="8" s="1"/>
  <c r="V374" i="8"/>
  <c r="V117" i="8"/>
  <c r="AD117" i="8" s="1"/>
  <c r="R403" i="8"/>
  <c r="Z403" i="8" s="1"/>
  <c r="V304" i="8"/>
  <c r="R459" i="8"/>
  <c r="Z459" i="8" s="1"/>
  <c r="R113" i="8"/>
  <c r="Z113" i="8" s="1"/>
  <c r="R447" i="8"/>
  <c r="Z447" i="8" s="1"/>
  <c r="R382" i="8"/>
  <c r="Z382" i="8" s="1"/>
  <c r="V84" i="8"/>
  <c r="V254" i="8"/>
  <c r="R474" i="8"/>
  <c r="Z474" i="8" s="1"/>
  <c r="V424" i="8"/>
  <c r="R377" i="8"/>
  <c r="Z377" i="8" s="1"/>
  <c r="R410" i="8"/>
  <c r="Z410" i="8" s="1"/>
  <c r="V216" i="8"/>
  <c r="AB216" i="8" s="1"/>
  <c r="R294" i="8"/>
  <c r="Z294" i="8" s="1"/>
  <c r="R333" i="8"/>
  <c r="Z333" i="8" s="1"/>
  <c r="R409" i="8"/>
  <c r="Z409" i="8" s="1"/>
  <c r="R213" i="8"/>
  <c r="Z213" i="8" s="1"/>
  <c r="R103" i="8"/>
  <c r="Z103" i="8" s="1"/>
  <c r="V278" i="8"/>
  <c r="V87" i="8"/>
  <c r="AB87" i="8" s="1"/>
  <c r="R81" i="8"/>
  <c r="Z81" i="8" s="1"/>
  <c r="R388" i="8"/>
  <c r="Z388" i="8" s="1"/>
  <c r="V158" i="8"/>
  <c r="R395" i="8"/>
  <c r="Z395" i="8" s="1"/>
  <c r="V246" i="8"/>
  <c r="R153" i="8"/>
  <c r="Z153" i="8" s="1"/>
  <c r="V168" i="8"/>
  <c r="R13" i="8"/>
  <c r="Z13" i="8" s="1"/>
  <c r="V348" i="8"/>
  <c r="AB348" i="8" s="1"/>
  <c r="V353" i="8"/>
  <c r="AD353" i="8" s="1"/>
  <c r="V360" i="8"/>
  <c r="AD360" i="8" s="1"/>
  <c r="V86" i="8"/>
  <c r="V100" i="8"/>
  <c r="R159" i="8"/>
  <c r="Z159" i="8" s="1"/>
  <c r="R142" i="8"/>
  <c r="Z142" i="8" s="1"/>
  <c r="R326" i="8"/>
  <c r="Z326" i="8" s="1"/>
  <c r="R10" i="8"/>
  <c r="Z10" i="8" s="1"/>
  <c r="R141" i="8"/>
  <c r="Z141" i="8" s="1"/>
  <c r="R169" i="8"/>
  <c r="Z169" i="8" s="1"/>
  <c r="R331" i="8"/>
  <c r="Z331" i="8" s="1"/>
  <c r="V217" i="8"/>
  <c r="R171" i="8"/>
  <c r="Z171" i="8" s="1"/>
  <c r="V290" i="8"/>
  <c r="V471" i="8"/>
  <c r="AB471" i="8" s="1"/>
  <c r="V461" i="8"/>
  <c r="R240" i="8"/>
  <c r="Z240" i="8" s="1"/>
  <c r="V329" i="8"/>
  <c r="AD329" i="8" s="1"/>
  <c r="V430" i="8"/>
  <c r="R418" i="8"/>
  <c r="Z418" i="8" s="1"/>
  <c r="V448" i="8"/>
  <c r="V412" i="8"/>
  <c r="AD412" i="8" s="1"/>
  <c r="V423" i="8"/>
  <c r="V308" i="8"/>
  <c r="R188" i="8"/>
  <c r="Z188" i="8" s="1"/>
  <c r="R128" i="8"/>
  <c r="Z128" i="8" s="1"/>
  <c r="V219" i="8"/>
  <c r="AD219" i="8" s="1"/>
  <c r="R419" i="8"/>
  <c r="Z419" i="8" s="1"/>
  <c r="R327" i="8"/>
  <c r="Z327" i="8" s="1"/>
  <c r="V167" i="8"/>
  <c r="V449" i="8"/>
  <c r="AB449" i="8" s="1"/>
  <c r="V73" i="8"/>
  <c r="R417" i="8"/>
  <c r="Z417" i="8" s="1"/>
  <c r="V124" i="8"/>
  <c r="AB124" i="8" s="1"/>
  <c r="R456" i="8"/>
  <c r="Z456" i="8" s="1"/>
  <c r="V345" i="8"/>
  <c r="R96" i="8"/>
  <c r="Z96" i="8" s="1"/>
  <c r="R323" i="8"/>
  <c r="Z323" i="8" s="1"/>
  <c r="R428" i="8"/>
  <c r="Z428" i="8" s="1"/>
  <c r="R211" i="8"/>
  <c r="Z211" i="8" s="1"/>
  <c r="R312" i="8"/>
  <c r="Z312" i="8" s="1"/>
  <c r="R76" i="8"/>
  <c r="Z76" i="8" s="1"/>
  <c r="R387" i="8"/>
  <c r="Z387" i="8" s="1"/>
  <c r="R293" i="8"/>
  <c r="Z293" i="8" s="1"/>
  <c r="V439" i="8"/>
  <c r="AB439" i="8" s="1"/>
  <c r="V317" i="8"/>
  <c r="V444" i="8"/>
  <c r="V60" i="8"/>
  <c r="AB60" i="8" s="1"/>
  <c r="V146" i="8"/>
  <c r="V301" i="8"/>
  <c r="R15" i="8"/>
  <c r="Z15" i="8" s="1"/>
  <c r="V177" i="8"/>
  <c r="R26" i="8"/>
  <c r="Z26" i="8" s="1"/>
  <c r="R45" i="8"/>
  <c r="Z45" i="8" s="1"/>
  <c r="R179" i="8"/>
  <c r="Z179" i="8" s="1"/>
  <c r="V361" i="8"/>
  <c r="V241" i="8"/>
  <c r="V137" i="8"/>
  <c r="V208" i="8"/>
  <c r="AD208" i="8" s="1"/>
  <c r="R450" i="8"/>
  <c r="Z450" i="8" s="1"/>
  <c r="R404" i="8"/>
  <c r="Z404" i="8" s="1"/>
  <c r="V429" i="8"/>
  <c r="AB429" i="8" s="1"/>
  <c r="R147" i="8"/>
  <c r="Z147" i="8" s="1"/>
  <c r="V42" i="8"/>
  <c r="AB42" i="8" s="1"/>
  <c r="R195" i="8"/>
  <c r="Z195" i="8" s="1"/>
  <c r="V104" i="8"/>
  <c r="AD104" i="8" s="1"/>
  <c r="V302" i="8"/>
  <c r="V277" i="8"/>
  <c r="V110" i="8"/>
  <c r="R427" i="8"/>
  <c r="Z427" i="8" s="1"/>
  <c r="R272" i="8"/>
  <c r="Z272" i="8" s="1"/>
  <c r="R379" i="8"/>
  <c r="Z379" i="8" s="1"/>
  <c r="V109" i="8"/>
  <c r="V477" i="8"/>
  <c r="AB477" i="8" s="1"/>
  <c r="R143" i="8"/>
  <c r="Z143" i="8" s="1"/>
  <c r="V139" i="8"/>
  <c r="R490" i="8"/>
  <c r="Z490" i="8" s="1"/>
  <c r="V20" i="8"/>
  <c r="R66" i="8"/>
  <c r="Z66" i="8" s="1"/>
  <c r="R296" i="8"/>
  <c r="Z296" i="8" s="1"/>
  <c r="R197" i="8"/>
  <c r="Z197" i="8" s="1"/>
  <c r="R472" i="8"/>
  <c r="Z472" i="8" s="1"/>
  <c r="R374" i="8"/>
  <c r="Z374" i="8" s="1"/>
  <c r="V130" i="8"/>
  <c r="V227" i="8"/>
  <c r="AB227" i="8" s="1"/>
  <c r="V403" i="8"/>
  <c r="R25" i="8"/>
  <c r="Z25" i="8" s="1"/>
  <c r="R315" i="8"/>
  <c r="Z315" i="8" s="1"/>
  <c r="R295" i="8"/>
  <c r="Z295" i="8" s="1"/>
  <c r="V319" i="8"/>
  <c r="V114" i="8"/>
  <c r="AB114" i="8" s="1"/>
  <c r="V459" i="8"/>
  <c r="V113" i="8"/>
  <c r="R251" i="8"/>
  <c r="Z251" i="8" s="1"/>
  <c r="R19" i="8"/>
  <c r="Z19" i="8" s="1"/>
  <c r="V51" i="8"/>
  <c r="V476" i="8"/>
  <c r="AB476" i="8" s="1"/>
  <c r="R424" i="8"/>
  <c r="Z424" i="8" s="1"/>
  <c r="V88" i="8"/>
  <c r="AD88" i="8" s="1"/>
  <c r="R198" i="8"/>
  <c r="Z198" i="8" s="1"/>
  <c r="R274" i="8"/>
  <c r="Z274" i="8" s="1"/>
  <c r="R216" i="8"/>
  <c r="Z216" i="8" s="1"/>
  <c r="V135" i="8"/>
  <c r="AD135" i="8" s="1"/>
  <c r="R253" i="8"/>
  <c r="Z253" i="8" s="1"/>
  <c r="V333" i="8"/>
  <c r="V297" i="8"/>
  <c r="AD297" i="8" s="1"/>
  <c r="R108" i="8"/>
  <c r="Z108" i="8" s="1"/>
  <c r="V426" i="8"/>
  <c r="V349" i="8"/>
  <c r="V94" i="8"/>
  <c r="V407" i="8"/>
  <c r="AD407" i="8" s="1"/>
  <c r="V81" i="8"/>
  <c r="AB81" i="8" s="1"/>
  <c r="R79" i="8"/>
  <c r="Z79" i="8" s="1"/>
  <c r="V435" i="8"/>
  <c r="AD435" i="8" s="1"/>
  <c r="R246" i="8"/>
  <c r="Z246" i="8" s="1"/>
  <c r="V80" i="8"/>
  <c r="R199" i="8"/>
  <c r="Z199" i="8" s="1"/>
  <c r="V370" i="8"/>
  <c r="R131" i="8"/>
  <c r="Z131" i="8" s="1"/>
  <c r="R378" i="8"/>
  <c r="Z378" i="8" s="1"/>
  <c r="V457" i="8"/>
  <c r="V229" i="8"/>
  <c r="AD229" i="8" s="1"/>
  <c r="R463" i="8"/>
  <c r="Z463" i="8" s="1"/>
  <c r="R86" i="8"/>
  <c r="Z86" i="8" s="1"/>
  <c r="R400" i="8"/>
  <c r="Z400" i="8" s="1"/>
  <c r="V44" i="8"/>
  <c r="AD44" i="8" s="1"/>
  <c r="R255" i="8"/>
  <c r="Z255" i="8" s="1"/>
  <c r="R226" i="8"/>
  <c r="Z226" i="8" s="1"/>
  <c r="R100" i="8"/>
  <c r="Z100" i="8" s="1"/>
  <c r="V159" i="8"/>
  <c r="AD159" i="8" s="1"/>
  <c r="R129" i="8"/>
  <c r="Z129" i="8" s="1"/>
  <c r="V372" i="8"/>
  <c r="R235" i="8"/>
  <c r="Z235" i="8" s="1"/>
  <c r="V58" i="8"/>
  <c r="AB58" i="8" s="1"/>
  <c r="V342" i="8"/>
  <c r="AB342" i="8" s="1"/>
  <c r="R187" i="8"/>
  <c r="Z187" i="8" s="1"/>
  <c r="R214" i="8"/>
  <c r="Z214" i="8" s="1"/>
  <c r="R27" i="8"/>
  <c r="Z27" i="8" s="1"/>
  <c r="R217" i="8"/>
  <c r="Z217" i="8" s="1"/>
  <c r="R101" i="8"/>
  <c r="Z101" i="8" s="1"/>
  <c r="V194" i="8"/>
  <c r="R436" i="8"/>
  <c r="Z436" i="8" s="1"/>
  <c r="R30" i="8"/>
  <c r="Z30" i="8" s="1"/>
  <c r="V203" i="8"/>
  <c r="AB203" i="8" s="1"/>
  <c r="V188" i="8"/>
  <c r="AB188" i="8" s="1"/>
  <c r="V468" i="8"/>
  <c r="AB468" i="8" s="1"/>
  <c r="R219" i="8"/>
  <c r="Z219" i="8" s="1"/>
  <c r="V228" i="8"/>
  <c r="AD228" i="8" s="1"/>
  <c r="V417" i="8"/>
  <c r="R466" i="8"/>
  <c r="Z466" i="8" s="1"/>
  <c r="R193" i="8"/>
  <c r="Z193" i="8" s="1"/>
  <c r="V37" i="8"/>
  <c r="V323" i="8"/>
  <c r="AB323" i="8" s="1"/>
  <c r="V321" i="8"/>
  <c r="V176" i="8"/>
  <c r="AB176" i="8" s="1"/>
  <c r="V393" i="8"/>
  <c r="AB393" i="8" s="1"/>
  <c r="V65" i="8"/>
  <c r="R33" i="8"/>
  <c r="Z33" i="8" s="1"/>
  <c r="R406" i="8"/>
  <c r="Z406" i="8" s="1"/>
  <c r="V452" i="8"/>
  <c r="R432" i="8"/>
  <c r="Z432" i="8" s="1"/>
  <c r="R465" i="8"/>
  <c r="Z465" i="8" s="1"/>
  <c r="R53" i="8"/>
  <c r="Z53" i="8" s="1"/>
  <c r="R29" i="8"/>
  <c r="Z29" i="8" s="1"/>
  <c r="R260" i="8"/>
  <c r="Z260" i="8" s="1"/>
  <c r="V233" i="8"/>
  <c r="AD233" i="8" s="1"/>
  <c r="R63" i="8"/>
  <c r="Z63" i="8" s="1"/>
  <c r="R21" i="8"/>
  <c r="Z21" i="8" s="1"/>
  <c r="V174" i="8"/>
  <c r="AB174" i="8" s="1"/>
  <c r="R301" i="8"/>
  <c r="Z301" i="8" s="1"/>
  <c r="V62" i="8"/>
  <c r="AD62" i="8" s="1"/>
  <c r="R92" i="8"/>
  <c r="Z92" i="8" s="1"/>
  <c r="R24" i="8"/>
  <c r="Z24" i="8" s="1"/>
  <c r="R287" i="8"/>
  <c r="Z287" i="8" s="1"/>
  <c r="V261" i="8"/>
  <c r="R46" i="8"/>
  <c r="Z46" i="8" s="1"/>
  <c r="V209" i="8"/>
  <c r="AB209" i="8" s="1"/>
  <c r="R41" i="8"/>
  <c r="Z41" i="8" s="1"/>
  <c r="R208" i="8"/>
  <c r="Z208" i="8" s="1"/>
  <c r="R309" i="8"/>
  <c r="Z309" i="8" s="1"/>
  <c r="R222" i="8"/>
  <c r="Z222" i="8" s="1"/>
  <c r="V95" i="8"/>
  <c r="V478" i="8"/>
  <c r="R442" i="8"/>
  <c r="Z442" i="8" s="1"/>
  <c r="V70" i="8"/>
  <c r="AB70" i="8" s="1"/>
  <c r="R109" i="8"/>
  <c r="Z109" i="8" s="1"/>
  <c r="R181" i="8"/>
  <c r="Z181" i="8" s="1"/>
  <c r="V143" i="8"/>
  <c r="V332" i="8"/>
  <c r="V207" i="8"/>
  <c r="AD207" i="8" s="1"/>
  <c r="V118" i="8"/>
  <c r="AB118" i="8" s="1"/>
  <c r="R85" i="8"/>
  <c r="Z85" i="8" s="1"/>
  <c r="R218" i="8"/>
  <c r="Z218" i="8" s="1"/>
  <c r="V334" i="8"/>
  <c r="AD334" i="8" s="1"/>
  <c r="R130" i="8"/>
  <c r="Z130" i="8" s="1"/>
  <c r="R47" i="8"/>
  <c r="Z47" i="8" s="1"/>
  <c r="R479" i="8"/>
  <c r="Z479" i="8" s="1"/>
  <c r="R319" i="8"/>
  <c r="Z319" i="8" s="1"/>
  <c r="V221" i="8"/>
  <c r="AB221" i="8" s="1"/>
  <c r="R12" i="8"/>
  <c r="Z12" i="8" s="1"/>
  <c r="R399" i="8"/>
  <c r="Z399" i="8" s="1"/>
  <c r="R134" i="8"/>
  <c r="Z134" i="8" s="1"/>
  <c r="V447" i="8"/>
  <c r="AD447" i="8" s="1"/>
  <c r="R338" i="8"/>
  <c r="Z338" i="8" s="1"/>
  <c r="R422" i="8"/>
  <c r="Z422" i="8" s="1"/>
  <c r="V247" i="8"/>
  <c r="R107" i="8"/>
  <c r="Z107" i="8" s="1"/>
  <c r="R82" i="8"/>
  <c r="Z82" i="8" s="1"/>
  <c r="V253" i="8"/>
  <c r="AB253" i="8" s="1"/>
  <c r="V97" i="8"/>
  <c r="R426" i="8"/>
  <c r="Z426" i="8" s="1"/>
  <c r="R280" i="8"/>
  <c r="Z280" i="8" s="1"/>
  <c r="R349" i="8"/>
  <c r="Z349" i="8" s="1"/>
  <c r="V189" i="8"/>
  <c r="AB189" i="8" s="1"/>
  <c r="V314" i="8"/>
  <c r="R256" i="8"/>
  <c r="Z256" i="8" s="1"/>
  <c r="V79" i="8"/>
  <c r="AB79" i="8" s="1"/>
  <c r="R11" i="8"/>
  <c r="Z11" i="8" s="1"/>
  <c r="V347" i="8"/>
  <c r="V232" i="8"/>
  <c r="V313" i="8"/>
  <c r="AB313" i="8" s="1"/>
  <c r="V320" i="8"/>
  <c r="AB320" i="8" s="1"/>
  <c r="V420" i="8"/>
  <c r="R56" i="8"/>
  <c r="Z56" i="8" s="1"/>
  <c r="R353" i="8"/>
  <c r="Z353" i="8" s="1"/>
  <c r="V276" i="8"/>
  <c r="R229" i="8"/>
  <c r="Z229" i="8" s="1"/>
  <c r="AD160" i="8"/>
  <c r="X160" i="8"/>
  <c r="AD292" i="8"/>
  <c r="X38" i="8"/>
  <c r="AD38" i="8"/>
  <c r="X33" i="8"/>
  <c r="AD215" i="8"/>
  <c r="AD28" i="8"/>
  <c r="AD303" i="8"/>
  <c r="X471" i="8"/>
  <c r="X140" i="8"/>
  <c r="X176" i="8"/>
  <c r="AD406" i="8"/>
  <c r="X400" i="8"/>
  <c r="AD402" i="8"/>
  <c r="AD473" i="8"/>
  <c r="X200" i="8"/>
  <c r="AD404" i="8"/>
  <c r="X404" i="8"/>
  <c r="X184" i="8"/>
  <c r="X289" i="8"/>
  <c r="AD289" i="8"/>
  <c r="AD464" i="8"/>
  <c r="X157" i="8"/>
  <c r="AD157" i="8"/>
  <c r="X235" i="8"/>
  <c r="X293" i="8"/>
  <c r="AD293" i="8"/>
  <c r="AD439" i="8"/>
  <c r="X439" i="8"/>
  <c r="AD29" i="8"/>
  <c r="AD63" i="8"/>
  <c r="AD204" i="8"/>
  <c r="X429" i="8"/>
  <c r="AD429" i="8"/>
  <c r="X171" i="8"/>
  <c r="X418" i="8"/>
  <c r="X203" i="8"/>
  <c r="AD367" i="8"/>
  <c r="AD475" i="8"/>
  <c r="X58" i="8"/>
  <c r="AD58" i="8"/>
  <c r="AD128" i="8"/>
  <c r="X449" i="8"/>
  <c r="AD432" i="8"/>
  <c r="AD133" i="8"/>
  <c r="AD68" i="8"/>
  <c r="X494" i="8"/>
  <c r="AD494" i="8"/>
  <c r="X259" i="8"/>
  <c r="AD232" i="8"/>
  <c r="X152" i="8"/>
  <c r="AD154" i="8"/>
  <c r="X18" i="8"/>
  <c r="X397" i="8"/>
  <c r="AD143" i="8"/>
  <c r="X490" i="8"/>
  <c r="AD332" i="8"/>
  <c r="X304" i="8"/>
  <c r="X265" i="8"/>
  <c r="AD319" i="8"/>
  <c r="X319" i="8"/>
  <c r="X221" i="8"/>
  <c r="X328" i="8"/>
  <c r="AD27" i="8"/>
  <c r="X394" i="8"/>
  <c r="AD394" i="8"/>
  <c r="X75" i="8"/>
  <c r="AD75" i="8"/>
  <c r="AD168" i="8"/>
  <c r="AD217" i="8"/>
  <c r="X483" i="8"/>
  <c r="AD100" i="8"/>
  <c r="X67" i="8"/>
  <c r="X440" i="8"/>
  <c r="X248" i="8"/>
  <c r="AD248" i="8"/>
  <c r="X32" i="8"/>
  <c r="AD32" i="8"/>
  <c r="X201" i="8"/>
  <c r="X159" i="8"/>
  <c r="X458" i="8"/>
  <c r="AD458" i="8"/>
  <c r="AD301" i="8"/>
  <c r="X78" i="8"/>
  <c r="X309" i="8"/>
  <c r="X222" i="8"/>
  <c r="X43" i="8"/>
  <c r="X110" i="8"/>
  <c r="X118" i="8"/>
  <c r="AD243" i="8"/>
  <c r="X227" i="8"/>
  <c r="AD336" i="8"/>
  <c r="X47" i="8"/>
  <c r="AD247" i="8"/>
  <c r="X120" i="8"/>
  <c r="AD190" i="8"/>
  <c r="X216" i="8"/>
  <c r="AD107" i="8"/>
  <c r="AD82" i="8"/>
  <c r="AD349" i="8"/>
  <c r="X189" i="8"/>
  <c r="X350" i="8"/>
  <c r="AD246" i="8"/>
  <c r="X313" i="8"/>
  <c r="X320" i="8"/>
  <c r="AD56" i="8"/>
  <c r="AD99" i="8"/>
  <c r="X37" i="8"/>
  <c r="AD393" i="8"/>
  <c r="X393" i="8"/>
  <c r="AD344" i="8"/>
  <c r="X124" i="8"/>
  <c r="X76" i="8"/>
  <c r="X122" i="8"/>
  <c r="X486" i="8"/>
  <c r="AD287" i="8"/>
  <c r="X287" i="8"/>
  <c r="X183" i="8"/>
  <c r="X262" i="8"/>
  <c r="X161" i="8"/>
  <c r="X165" i="8"/>
  <c r="X137" i="8"/>
  <c r="X302" i="8"/>
  <c r="X267" i="8"/>
  <c r="AD130" i="8"/>
  <c r="AD113" i="8"/>
  <c r="X198" i="8"/>
  <c r="AD198" i="8"/>
  <c r="X333" i="8"/>
  <c r="X213" i="8"/>
  <c r="AD213" i="8"/>
  <c r="AD94" i="8"/>
  <c r="X87" i="8"/>
  <c r="X158" i="8"/>
  <c r="X11" i="8"/>
  <c r="X460" i="8"/>
  <c r="AD484" i="8"/>
  <c r="X381" i="8"/>
  <c r="X425" i="8"/>
  <c r="X343" i="8"/>
  <c r="AD52" i="8"/>
  <c r="X340" i="8"/>
  <c r="AD340" i="8"/>
  <c r="X40" i="8"/>
  <c r="AD437" i="8"/>
  <c r="X365" i="8"/>
  <c r="AD380" i="8"/>
  <c r="X178" i="8"/>
  <c r="AD178" i="8"/>
  <c r="X363" i="8"/>
  <c r="AD363" i="8"/>
  <c r="X77" i="8"/>
  <c r="AD272" i="8"/>
  <c r="AD369" i="8"/>
  <c r="AD20" i="8"/>
  <c r="X185" i="8"/>
  <c r="X31" i="8"/>
  <c r="AD31" i="8"/>
  <c r="X438" i="8"/>
  <c r="AD224" i="8"/>
  <c r="X224" i="8"/>
  <c r="X337" i="8"/>
  <c r="AD337" i="8"/>
  <c r="X242" i="8"/>
  <c r="AD264" i="8"/>
  <c r="X231" i="8"/>
  <c r="X245" i="8"/>
  <c r="AD245" i="8"/>
  <c r="X80" i="8"/>
  <c r="X392" i="8"/>
  <c r="X196" i="8"/>
  <c r="X283" i="8"/>
  <c r="X180" i="8"/>
  <c r="AD180" i="8"/>
  <c r="X416" i="8"/>
  <c r="AD489" i="8"/>
  <c r="AD275" i="8"/>
  <c r="AD59" i="8"/>
  <c r="X59" i="8"/>
  <c r="X398" i="8"/>
  <c r="X311" i="8"/>
  <c r="X60" i="8"/>
  <c r="AD45" i="8"/>
  <c r="X385" i="8"/>
  <c r="X413" i="8"/>
  <c r="X277" i="8"/>
  <c r="AD277" i="8"/>
  <c r="AD279" i="8"/>
  <c r="X250" i="8"/>
  <c r="X391" i="8"/>
  <c r="X282" i="8"/>
  <c r="X441" i="8"/>
  <c r="AD441" i="8"/>
  <c r="AD366" i="8"/>
  <c r="AD453" i="8"/>
  <c r="AD225" i="8"/>
  <c r="AD310" i="8"/>
  <c r="AD354" i="8"/>
  <c r="X49" i="8"/>
  <c r="AD173" i="8"/>
  <c r="AD191" i="8"/>
  <c r="AD121" i="8"/>
  <c r="X121" i="8"/>
  <c r="AD364" i="8"/>
  <c r="AD115" i="8"/>
  <c r="AD226" i="8"/>
  <c r="AD351" i="8"/>
  <c r="X291" i="8"/>
  <c r="X451" i="8"/>
  <c r="AD239" i="8"/>
  <c r="X239" i="8"/>
  <c r="X149" i="8"/>
  <c r="AD355" i="8"/>
  <c r="X61" i="8"/>
  <c r="X238" i="8"/>
  <c r="X17" i="8"/>
  <c r="X65" i="8"/>
  <c r="X260" i="8"/>
  <c r="X24" i="8"/>
  <c r="AD322" i="8"/>
  <c r="AD485" i="8"/>
  <c r="X119" i="8"/>
  <c r="AD431" i="8"/>
  <c r="X479" i="8"/>
  <c r="X316" i="8"/>
  <c r="X89" i="8"/>
  <c r="X474" i="8"/>
  <c r="X377" i="8"/>
  <c r="X103" i="8"/>
  <c r="AD103" i="8"/>
  <c r="AD395" i="8"/>
  <c r="AD263" i="8"/>
  <c r="X169" i="8"/>
  <c r="X290" i="8"/>
  <c r="AD290" i="8"/>
  <c r="X252" i="8"/>
  <c r="AD212" i="8"/>
  <c r="AD268" i="8"/>
  <c r="AD448" i="8"/>
  <c r="X419" i="8"/>
  <c r="X167" i="8"/>
  <c r="AD167" i="8"/>
  <c r="X455" i="8"/>
  <c r="AD112" i="8"/>
  <c r="X96" i="8"/>
  <c r="X362" i="8"/>
  <c r="X352" i="8"/>
  <c r="AD273" i="8"/>
  <c r="X495" i="8"/>
  <c r="X450" i="8"/>
  <c r="AD139" i="8"/>
  <c r="X359" i="8"/>
  <c r="AD126" i="8"/>
  <c r="X126" i="8"/>
  <c r="X472" i="8"/>
  <c r="AD403" i="8"/>
  <c r="X403" i="8"/>
  <c r="X182" i="8"/>
  <c r="AD182" i="8"/>
  <c r="X251" i="8"/>
  <c r="AD424" i="8"/>
  <c r="X274" i="8"/>
  <c r="AD294" i="8"/>
  <c r="X153" i="8"/>
  <c r="AD153" i="8"/>
  <c r="X199" i="8"/>
  <c r="X86" i="8"/>
  <c r="AD252" i="8" l="1"/>
  <c r="X369" i="8"/>
  <c r="X280" i="8"/>
  <c r="X29" i="8"/>
  <c r="X41" i="8"/>
  <c r="X301" i="8"/>
  <c r="X156" i="8"/>
  <c r="X335" i="8"/>
  <c r="X464" i="8"/>
  <c r="AB291" i="8"/>
  <c r="X263" i="8"/>
  <c r="X487" i="8"/>
  <c r="X95" i="8"/>
  <c r="X433" i="8"/>
  <c r="AD320" i="8"/>
  <c r="X349" i="8"/>
  <c r="X83" i="8"/>
  <c r="X111" i="8"/>
  <c r="X321" i="8"/>
  <c r="AB321" i="8"/>
  <c r="AB489" i="8"/>
  <c r="AB377" i="8"/>
  <c r="AB436" i="8"/>
  <c r="X348" i="8"/>
  <c r="X459" i="8"/>
  <c r="X273" i="8"/>
  <c r="X324" i="8"/>
  <c r="X127" i="8"/>
  <c r="X358" i="8"/>
  <c r="X249" i="8"/>
  <c r="AB119" i="8"/>
  <c r="AB165" i="8"/>
  <c r="AB282" i="8"/>
  <c r="AB474" i="8"/>
  <c r="AB235" i="8"/>
  <c r="AB249" i="8"/>
  <c r="AB40" i="8"/>
  <c r="AB152" i="8"/>
  <c r="AB358" i="8"/>
  <c r="AB283" i="8"/>
  <c r="X155" i="8"/>
  <c r="X90" i="8"/>
  <c r="X481" i="8"/>
  <c r="X345" i="8"/>
  <c r="X386" i="8"/>
  <c r="X396" i="8"/>
  <c r="X488" i="8"/>
  <c r="X466" i="8"/>
  <c r="X436" i="8"/>
  <c r="X28" i="8"/>
  <c r="AB178" i="8"/>
  <c r="X427" i="8"/>
  <c r="X142" i="8"/>
  <c r="X364" i="8"/>
  <c r="X225" i="8"/>
  <c r="AD250" i="8"/>
  <c r="X45" i="8"/>
  <c r="X489" i="8"/>
  <c r="AD196" i="8"/>
  <c r="X102" i="8"/>
  <c r="X232" i="8"/>
  <c r="X323" i="8"/>
  <c r="AB232" i="8"/>
  <c r="AB277" i="8"/>
  <c r="AB363" i="8"/>
  <c r="X430" i="8"/>
  <c r="AD189" i="8"/>
  <c r="X375" i="8"/>
  <c r="X241" i="8"/>
  <c r="X92" i="8"/>
  <c r="X26" i="8"/>
  <c r="X272" i="8"/>
  <c r="AD42" i="8"/>
  <c r="X336" i="8"/>
  <c r="AD474" i="8"/>
  <c r="AD40" i="8"/>
  <c r="X116" i="8"/>
  <c r="AD283" i="8"/>
  <c r="X344" i="8"/>
  <c r="X150" i="8"/>
  <c r="AD483" i="8"/>
  <c r="X62" i="8"/>
  <c r="X19" i="8"/>
  <c r="X93" i="8"/>
  <c r="X117" i="8"/>
  <c r="X299" i="8"/>
  <c r="X94" i="8"/>
  <c r="X129" i="8"/>
  <c r="X326" i="8"/>
  <c r="X476" i="8"/>
  <c r="X112" i="8"/>
  <c r="X30" i="8"/>
  <c r="AD313" i="8"/>
  <c r="X376" i="8"/>
  <c r="X101" i="8"/>
  <c r="AD449" i="8"/>
  <c r="X286" i="8"/>
  <c r="AB391" i="8"/>
  <c r="X69" i="8"/>
  <c r="X346" i="8"/>
  <c r="AD358" i="8"/>
  <c r="AD486" i="8"/>
  <c r="X56" i="8"/>
  <c r="X314" i="8"/>
  <c r="X97" i="8"/>
  <c r="X315" i="8"/>
  <c r="X187" i="8"/>
  <c r="AD280" i="8"/>
  <c r="X132" i="8"/>
  <c r="X13" i="8"/>
  <c r="X384" i="8"/>
  <c r="X389" i="8"/>
  <c r="X347" i="8"/>
  <c r="X174" i="8"/>
  <c r="X271" i="8"/>
  <c r="AD398" i="8"/>
  <c r="X408" i="8"/>
  <c r="X253" i="8"/>
  <c r="AD150" i="8"/>
  <c r="X406" i="8"/>
  <c r="X55" i="8"/>
  <c r="X281" i="8"/>
  <c r="X306" i="8"/>
  <c r="AD124" i="8"/>
  <c r="AD67" i="8"/>
  <c r="X74" i="8"/>
  <c r="X412" i="8"/>
  <c r="AB269" i="8"/>
  <c r="AB492" i="8"/>
  <c r="AB405" i="8"/>
  <c r="X278" i="8"/>
  <c r="X205" i="8"/>
  <c r="X109" i="8"/>
  <c r="X446" i="8"/>
  <c r="AB361" i="8"/>
  <c r="AB383" i="8"/>
  <c r="AB223" i="8"/>
  <c r="X88" i="8"/>
  <c r="AD230" i="8"/>
  <c r="AD291" i="8"/>
  <c r="AD223" i="8"/>
  <c r="AB420" i="8"/>
  <c r="AB440" i="8"/>
  <c r="X424" i="8"/>
  <c r="X139" i="8"/>
  <c r="X383" i="8"/>
  <c r="X181" i="8"/>
  <c r="X14" i="8"/>
  <c r="X114" i="8"/>
  <c r="X223" i="8"/>
  <c r="X202" i="8"/>
  <c r="X437" i="8"/>
  <c r="X420" i="8"/>
  <c r="X113" i="8"/>
  <c r="X300" i="8"/>
  <c r="AD411" i="8"/>
  <c r="X288" i="8"/>
  <c r="X163" i="8"/>
  <c r="X22" i="8"/>
  <c r="X105" i="8"/>
  <c r="X317" i="8"/>
  <c r="X332" i="8"/>
  <c r="AD235" i="8"/>
  <c r="X145" i="8"/>
  <c r="X44" i="8"/>
  <c r="AD471" i="8"/>
  <c r="AB44" i="8"/>
  <c r="AB403" i="8"/>
  <c r="AB167" i="8"/>
  <c r="AB412" i="8"/>
  <c r="AB290" i="8"/>
  <c r="AB495" i="8"/>
  <c r="AB157" i="8"/>
  <c r="X212" i="8"/>
  <c r="X234" i="8"/>
  <c r="X421" i="8"/>
  <c r="X217" i="8"/>
  <c r="X475" i="8"/>
  <c r="AB109" i="8"/>
  <c r="AB76" i="8"/>
  <c r="AB163" i="8"/>
  <c r="AD21" i="8"/>
  <c r="X144" i="8"/>
  <c r="X21" i="8"/>
  <c r="X334" i="8"/>
  <c r="X401" i="8"/>
  <c r="AD321" i="8"/>
  <c r="X356" i="8"/>
  <c r="AB261" i="8"/>
  <c r="AB444" i="8"/>
  <c r="AB421" i="8"/>
  <c r="AB341" i="8"/>
  <c r="AB134" i="8"/>
  <c r="X361" i="8"/>
  <c r="X448" i="8"/>
  <c r="X465" i="8"/>
  <c r="X482" i="8"/>
  <c r="X206" i="8"/>
  <c r="AD114" i="8"/>
  <c r="AD391" i="8"/>
  <c r="X258" i="8"/>
  <c r="X84" i="8"/>
  <c r="X148" i="8"/>
  <c r="X341" i="8"/>
  <c r="X131" i="8"/>
  <c r="X36" i="8"/>
  <c r="X136" i="8"/>
  <c r="AD454" i="8"/>
  <c r="AD43" i="8"/>
  <c r="X211" i="8"/>
  <c r="X444" i="8"/>
  <c r="X27" i="8"/>
  <c r="X338" i="8"/>
  <c r="AD200" i="8"/>
  <c r="AB332" i="8"/>
  <c r="AB448" i="8"/>
  <c r="AB424" i="8"/>
  <c r="AB485" i="8"/>
  <c r="AB128" i="8"/>
  <c r="AB212" i="8"/>
  <c r="AB248" i="8"/>
  <c r="AB337" i="8"/>
  <c r="AB75" i="8"/>
  <c r="AB38" i="8"/>
  <c r="X402" i="8"/>
  <c r="AD477" i="8"/>
  <c r="AB457" i="8"/>
  <c r="AB146" i="8"/>
  <c r="AB306" i="8"/>
  <c r="AB415" i="8"/>
  <c r="AD359" i="8"/>
  <c r="X230" i="8"/>
  <c r="X151" i="8"/>
  <c r="X229" i="8"/>
  <c r="X374" i="8"/>
  <c r="X468" i="8"/>
  <c r="X477" i="8"/>
  <c r="X194" i="8"/>
  <c r="X305" i="8"/>
  <c r="AB23" i="8"/>
  <c r="AB144" i="8"/>
  <c r="X269" i="8"/>
  <c r="X115" i="8"/>
  <c r="AD271" i="8"/>
  <c r="AD300" i="8"/>
  <c r="AD468" i="8"/>
  <c r="X134" i="8"/>
  <c r="X68" i="8"/>
  <c r="X128" i="8"/>
  <c r="X388" i="8"/>
  <c r="AD472" i="8"/>
  <c r="X428" i="8"/>
  <c r="X330" i="8"/>
  <c r="X409" i="8"/>
  <c r="X485" i="8"/>
  <c r="X351" i="8"/>
  <c r="X354" i="8"/>
  <c r="X492" i="8"/>
  <c r="X491" i="8"/>
  <c r="X50" i="8"/>
  <c r="X210" i="8"/>
  <c r="AD341" i="8"/>
  <c r="X12" i="8"/>
  <c r="X146" i="8"/>
  <c r="AD433" i="8"/>
  <c r="X219" i="8"/>
  <c r="X236" i="8"/>
  <c r="X246" i="8"/>
  <c r="X190" i="8"/>
  <c r="X454" i="8"/>
  <c r="X478" i="8"/>
  <c r="AD78" i="8"/>
  <c r="X284" i="8"/>
  <c r="AD342" i="8"/>
  <c r="AD221" i="8"/>
  <c r="AD490" i="8"/>
  <c r="AD203" i="8"/>
  <c r="X175" i="8"/>
  <c r="X177" i="8"/>
  <c r="AB475" i="8"/>
  <c r="AD465" i="8"/>
  <c r="AB465" i="8"/>
  <c r="AD467" i="8"/>
  <c r="AB467" i="8"/>
  <c r="AD19" i="8"/>
  <c r="AB19" i="8"/>
  <c r="X279" i="8"/>
  <c r="AD413" i="8"/>
  <c r="X294" i="8"/>
  <c r="X431" i="8"/>
  <c r="AD81" i="8"/>
  <c r="X442" i="8"/>
  <c r="X125" i="8"/>
  <c r="AD35" i="8"/>
  <c r="X298" i="8"/>
  <c r="X276" i="8"/>
  <c r="AD109" i="8"/>
  <c r="X48" i="8"/>
  <c r="AD405" i="8"/>
  <c r="X473" i="8"/>
  <c r="X417" i="8"/>
  <c r="AD347" i="8"/>
  <c r="AB347" i="8"/>
  <c r="AB447" i="8"/>
  <c r="AB62" i="8"/>
  <c r="AB88" i="8"/>
  <c r="AD302" i="8"/>
  <c r="AB302" i="8"/>
  <c r="AB208" i="8"/>
  <c r="AB219" i="8"/>
  <c r="AB430" i="8"/>
  <c r="AD86" i="8"/>
  <c r="AB86" i="8"/>
  <c r="AD254" i="8"/>
  <c r="AB254" i="8"/>
  <c r="AB117" i="8"/>
  <c r="AD267" i="8"/>
  <c r="AB267" i="8"/>
  <c r="AB192" i="8"/>
  <c r="AD327" i="8"/>
  <c r="AB327" i="8"/>
  <c r="AB98" i="8"/>
  <c r="AD388" i="8"/>
  <c r="AB388" i="8"/>
  <c r="AB162" i="8"/>
  <c r="AB108" i="8"/>
  <c r="AD365" i="8"/>
  <c r="AB365" i="8"/>
  <c r="AD400" i="8"/>
  <c r="AB400" i="8"/>
  <c r="AB414" i="8"/>
  <c r="AD185" i="8"/>
  <c r="AB185" i="8"/>
  <c r="AD392" i="8"/>
  <c r="AB392" i="8"/>
  <c r="AB25" i="8"/>
  <c r="AB456" i="8"/>
  <c r="AB236" i="8"/>
  <c r="AD105" i="8"/>
  <c r="AB105" i="8"/>
  <c r="AB307" i="8"/>
  <c r="AB469" i="8"/>
  <c r="AB48" i="8"/>
  <c r="AB480" i="8"/>
  <c r="AD309" i="8"/>
  <c r="AB309" i="8"/>
  <c r="AB106" i="8"/>
  <c r="AD338" i="8"/>
  <c r="AB338" i="8"/>
  <c r="AB299" i="8"/>
  <c r="AB193" i="8"/>
  <c r="AD255" i="8"/>
  <c r="AB255" i="8"/>
  <c r="AD438" i="8"/>
  <c r="AB438" i="8"/>
  <c r="AB244" i="8"/>
  <c r="AD487" i="8"/>
  <c r="AB487" i="8"/>
  <c r="AB356" i="8"/>
  <c r="AD151" i="8"/>
  <c r="AB151" i="8"/>
  <c r="AD476" i="8"/>
  <c r="AD427" i="8"/>
  <c r="X147" i="8"/>
  <c r="X192" i="8"/>
  <c r="X456" i="8"/>
  <c r="AD383" i="8"/>
  <c r="AD430" i="8"/>
  <c r="X141" i="8"/>
  <c r="X237" i="8"/>
  <c r="AD174" i="8"/>
  <c r="AD238" i="8"/>
  <c r="AD324" i="8"/>
  <c r="AD299" i="8"/>
  <c r="X339" i="8"/>
  <c r="X453" i="8"/>
  <c r="X15" i="8"/>
  <c r="AD491" i="8"/>
  <c r="AD416" i="8"/>
  <c r="X20" i="8"/>
  <c r="X64" i="8"/>
  <c r="X390" i="8"/>
  <c r="X52" i="8"/>
  <c r="AD420" i="8"/>
  <c r="AD87" i="8"/>
  <c r="AD253" i="8"/>
  <c r="X443" i="8"/>
  <c r="AD262" i="8"/>
  <c r="AD288" i="8"/>
  <c r="AD187" i="8"/>
  <c r="AD236" i="8"/>
  <c r="X297" i="8"/>
  <c r="AD216" i="8"/>
  <c r="AD227" i="8"/>
  <c r="AD132" i="8"/>
  <c r="X57" i="8"/>
  <c r="X208" i="8"/>
  <c r="AD384" i="8"/>
  <c r="X435" i="8"/>
  <c r="X405" i="8"/>
  <c r="AD101" i="8"/>
  <c r="X422" i="8"/>
  <c r="AD397" i="8"/>
  <c r="AD92" i="8"/>
  <c r="X445" i="8"/>
  <c r="X133" i="8"/>
  <c r="AD144" i="8"/>
  <c r="X63" i="8"/>
  <c r="AD116" i="8"/>
  <c r="AD184" i="8"/>
  <c r="AD335" i="8"/>
  <c r="X327" i="8"/>
  <c r="X228" i="8"/>
  <c r="AD356" i="8"/>
  <c r="AD276" i="8"/>
  <c r="AB276" i="8"/>
  <c r="AD97" i="8"/>
  <c r="AB97" i="8"/>
  <c r="AB334" i="8"/>
  <c r="AB159" i="8"/>
  <c r="AB229" i="8"/>
  <c r="AB435" i="8"/>
  <c r="AB297" i="8"/>
  <c r="AB319" i="8"/>
  <c r="AB104" i="8"/>
  <c r="AD137" i="8"/>
  <c r="AB137" i="8"/>
  <c r="AB301" i="8"/>
  <c r="AB329" i="8"/>
  <c r="AB360" i="8"/>
  <c r="AD158" i="8"/>
  <c r="AB158" i="8"/>
  <c r="AD84" i="8"/>
  <c r="AB84" i="8"/>
  <c r="AD374" i="8"/>
  <c r="AB374" i="8"/>
  <c r="AD387" i="8"/>
  <c r="AB387" i="8"/>
  <c r="AB331" i="8"/>
  <c r="AB131" i="8"/>
  <c r="AD49" i="8"/>
  <c r="AB49" i="8"/>
  <c r="AB325" i="8"/>
  <c r="AD295" i="8"/>
  <c r="AB295" i="8"/>
  <c r="AD443" i="8"/>
  <c r="AB443" i="8"/>
  <c r="AB237" i="8"/>
  <c r="AB286" i="8"/>
  <c r="AB428" i="8"/>
  <c r="AD127" i="8"/>
  <c r="AB127" i="8"/>
  <c r="AB294" i="8"/>
  <c r="AD479" i="8"/>
  <c r="AB479" i="8"/>
  <c r="AB63" i="8"/>
  <c r="AD368" i="8"/>
  <c r="AB368" i="8"/>
  <c r="AB346" i="8"/>
  <c r="AB494" i="8"/>
  <c r="AD231" i="8"/>
  <c r="AB231" i="8"/>
  <c r="AB310" i="8"/>
  <c r="AB386" i="8"/>
  <c r="AD210" i="8"/>
  <c r="AB210" i="8"/>
  <c r="AB351" i="8"/>
  <c r="AD328" i="8"/>
  <c r="AB328" i="8"/>
  <c r="AD34" i="8"/>
  <c r="AB34" i="8"/>
  <c r="AB56" i="8"/>
  <c r="AB218" i="8"/>
  <c r="AB463" i="8"/>
  <c r="AB422" i="8"/>
  <c r="AB226" i="8"/>
  <c r="AB270" i="8"/>
  <c r="AB330" i="8"/>
  <c r="AB31" i="8"/>
  <c r="AB339" i="8"/>
  <c r="AB431" i="8"/>
  <c r="AB369" i="8"/>
  <c r="AB215" i="8"/>
  <c r="AB466" i="8"/>
  <c r="AB99" i="8"/>
  <c r="AB460" i="8"/>
  <c r="AB55" i="8"/>
  <c r="AB409" i="8"/>
  <c r="AD234" i="8"/>
  <c r="AB234" i="8"/>
  <c r="AB371" i="8"/>
  <c r="AD333" i="8"/>
  <c r="AB333" i="8"/>
  <c r="AD241" i="8"/>
  <c r="AB241" i="8"/>
  <c r="AD260" i="8"/>
  <c r="AB260" i="8"/>
  <c r="AD220" i="8"/>
  <c r="AB220" i="8"/>
  <c r="X162" i="8"/>
  <c r="X493" i="8"/>
  <c r="X214" i="8"/>
  <c r="AD156" i="8"/>
  <c r="AD452" i="8"/>
  <c r="AB452" i="8"/>
  <c r="AD54" i="8"/>
  <c r="AB54" i="8"/>
  <c r="AD175" i="8"/>
  <c r="AB175" i="8"/>
  <c r="AB85" i="8"/>
  <c r="AB166" i="8"/>
  <c r="X378" i="8"/>
  <c r="X355" i="8"/>
  <c r="X370" i="8"/>
  <c r="AD77" i="8"/>
  <c r="X135" i="8"/>
  <c r="X447" i="8"/>
  <c r="AD70" i="8"/>
  <c r="X423" i="8"/>
  <c r="X195" i="8"/>
  <c r="X452" i="8"/>
  <c r="X292" i="8"/>
  <c r="AD314" i="8"/>
  <c r="AB314" i="8"/>
  <c r="AB407" i="8"/>
  <c r="AD423" i="8"/>
  <c r="AB423" i="8"/>
  <c r="AD266" i="8"/>
  <c r="AB266" i="8"/>
  <c r="AB66" i="8"/>
  <c r="AB136" i="8"/>
  <c r="AB312" i="8"/>
  <c r="AD348" i="8"/>
  <c r="AD108" i="8"/>
  <c r="X72" i="8"/>
  <c r="AD470" i="8"/>
  <c r="AD361" i="8"/>
  <c r="AD106" i="8"/>
  <c r="X268" i="8"/>
  <c r="X360" i="8"/>
  <c r="X395" i="8"/>
  <c r="X54" i="8"/>
  <c r="X434" i="8"/>
  <c r="AD61" i="8"/>
  <c r="AD98" i="8"/>
  <c r="X226" i="8"/>
  <c r="X173" i="8"/>
  <c r="X310" i="8"/>
  <c r="AD282" i="8"/>
  <c r="AD261" i="8"/>
  <c r="X275" i="8"/>
  <c r="X8" i="8"/>
  <c r="X357" i="8"/>
  <c r="X415" i="8"/>
  <c r="X380" i="8"/>
  <c r="AD469" i="8"/>
  <c r="X164" i="8"/>
  <c r="X457" i="8"/>
  <c r="X410" i="8"/>
  <c r="X25" i="8"/>
  <c r="AD209" i="8"/>
  <c r="AD165" i="8"/>
  <c r="AD396" i="8"/>
  <c r="AD183" i="8"/>
  <c r="AD146" i="8"/>
  <c r="X411" i="8"/>
  <c r="AD163" i="8"/>
  <c r="AD79" i="8"/>
  <c r="X82" i="8"/>
  <c r="X247" i="8"/>
  <c r="AD47" i="8"/>
  <c r="X243" i="8"/>
  <c r="AD118" i="8"/>
  <c r="X46" i="8"/>
  <c r="X373" i="8"/>
  <c r="X100" i="8"/>
  <c r="X342" i="8"/>
  <c r="X143" i="8"/>
  <c r="AD259" i="8"/>
  <c r="X387" i="8"/>
  <c r="X331" i="8"/>
  <c r="X312" i="8"/>
  <c r="AD171" i="8"/>
  <c r="X240" i="8"/>
  <c r="X172" i="8"/>
  <c r="X368" i="8"/>
  <c r="X10" i="8"/>
  <c r="X255" i="8"/>
  <c r="AB247" i="8"/>
  <c r="AB207" i="8"/>
  <c r="AD95" i="8"/>
  <c r="AB95" i="8"/>
  <c r="AB233" i="8"/>
  <c r="AD370" i="8"/>
  <c r="AB370" i="8"/>
  <c r="AB94" i="8"/>
  <c r="AB20" i="8"/>
  <c r="AD317" i="8"/>
  <c r="AB317" i="8"/>
  <c r="AB168" i="8"/>
  <c r="AD278" i="8"/>
  <c r="AB278" i="8"/>
  <c r="AD389" i="8"/>
  <c r="AB389" i="8"/>
  <c r="AD147" i="8"/>
  <c r="AB147" i="8"/>
  <c r="AD352" i="8"/>
  <c r="AB352" i="8"/>
  <c r="AD140" i="8"/>
  <c r="AB140" i="8"/>
  <c r="AD451" i="8"/>
  <c r="AB451" i="8"/>
  <c r="AB103" i="8"/>
  <c r="AD410" i="8"/>
  <c r="AB410" i="8"/>
  <c r="AB367" i="8"/>
  <c r="AB366" i="8"/>
  <c r="AD296" i="8"/>
  <c r="AB296" i="8"/>
  <c r="AB455" i="8"/>
  <c r="AD50" i="8"/>
  <c r="AB50" i="8"/>
  <c r="AB239" i="8"/>
  <c r="AB222" i="8"/>
  <c r="AD488" i="8"/>
  <c r="AB488" i="8"/>
  <c r="AD257" i="8"/>
  <c r="AB257" i="8"/>
  <c r="AB441" i="8"/>
  <c r="AD206" i="8"/>
  <c r="AB206" i="8"/>
  <c r="AB22" i="8"/>
  <c r="AB311" i="8"/>
  <c r="AB399" i="8"/>
  <c r="AB82" i="8"/>
  <c r="AB91" i="8"/>
  <c r="AB46" i="8"/>
  <c r="AB340" i="8"/>
  <c r="AD343" i="8"/>
  <c r="AB343" i="8"/>
  <c r="AD242" i="8"/>
  <c r="AB242" i="8"/>
  <c r="AB205" i="8"/>
  <c r="AB64" i="8"/>
  <c r="AB29" i="8"/>
  <c r="AB122" i="8"/>
  <c r="AB173" i="8"/>
  <c r="AB408" i="8"/>
  <c r="AD381" i="8"/>
  <c r="AB381" i="8"/>
  <c r="AD401" i="8"/>
  <c r="AB401" i="8"/>
  <c r="AB263" i="8"/>
  <c r="AD102" i="8"/>
  <c r="AB102" i="8"/>
  <c r="AB298" i="8"/>
  <c r="AB53" i="8"/>
  <c r="AD284" i="8"/>
  <c r="AB284" i="8"/>
  <c r="AD169" i="8"/>
  <c r="AB169" i="8"/>
  <c r="AD145" i="8"/>
  <c r="AB145" i="8"/>
  <c r="AD129" i="8"/>
  <c r="AB129" i="8"/>
  <c r="X407" i="8"/>
  <c r="AD36" i="8"/>
  <c r="X73" i="8"/>
  <c r="X70" i="8"/>
  <c r="X432" i="8"/>
  <c r="X215" i="8"/>
  <c r="AD51" i="8"/>
  <c r="AB51" i="8"/>
  <c r="AB308" i="8"/>
  <c r="AD461" i="8"/>
  <c r="AB461" i="8"/>
  <c r="AB16" i="8"/>
  <c r="AD33" i="8"/>
  <c r="AB33" i="8"/>
  <c r="AD199" i="8"/>
  <c r="AB199" i="8"/>
  <c r="AB214" i="8"/>
  <c r="X197" i="8"/>
  <c r="AD434" i="8"/>
  <c r="X98" i="8"/>
  <c r="X191" i="8"/>
  <c r="AD492" i="8"/>
  <c r="X285" i="8"/>
  <c r="AD425" i="8"/>
  <c r="X79" i="8"/>
  <c r="X85" i="8"/>
  <c r="X367" i="8"/>
  <c r="X233" i="8"/>
  <c r="AD436" i="8"/>
  <c r="AD478" i="8"/>
  <c r="AB478" i="8"/>
  <c r="AB135" i="8"/>
  <c r="AB195" i="8"/>
  <c r="AB285" i="8"/>
  <c r="AD493" i="8"/>
  <c r="AB493" i="8"/>
  <c r="AD442" i="8"/>
  <c r="AB442" i="8"/>
  <c r="AB69" i="8"/>
  <c r="AD149" i="8"/>
  <c r="AB149" i="8"/>
  <c r="AD385" i="8"/>
  <c r="AB385" i="8"/>
  <c r="AB170" i="8"/>
  <c r="AD71" i="8"/>
  <c r="AB71" i="8"/>
  <c r="X254" i="8"/>
  <c r="X106" i="8"/>
  <c r="AD119" i="8"/>
  <c r="X322" i="8"/>
  <c r="AD23" i="8"/>
  <c r="AD123" i="8"/>
  <c r="X366" i="8"/>
  <c r="X138" i="8"/>
  <c r="X261" i="8"/>
  <c r="X329" i="8"/>
  <c r="X318" i="8"/>
  <c r="X220" i="8"/>
  <c r="X270" i="8"/>
  <c r="X371" i="8"/>
  <c r="AD357" i="8"/>
  <c r="X186" i="8"/>
  <c r="AD415" i="8"/>
  <c r="AD307" i="8"/>
  <c r="X469" i="8"/>
  <c r="AD414" i="8"/>
  <c r="X266" i="8"/>
  <c r="AD76" i="8"/>
  <c r="X461" i="8"/>
  <c r="X99" i="8"/>
  <c r="AD256" i="8"/>
  <c r="X107" i="8"/>
  <c r="AD480" i="8"/>
  <c r="AD308" i="8"/>
  <c r="AD444" i="8"/>
  <c r="X188" i="8"/>
  <c r="AD134" i="8"/>
  <c r="X9" i="8"/>
  <c r="X154" i="8"/>
  <c r="X39" i="8"/>
  <c r="AD323" i="8"/>
  <c r="AD312" i="8"/>
  <c r="AD41" i="8"/>
  <c r="X372" i="8"/>
  <c r="AD176" i="8"/>
  <c r="AD65" i="8"/>
  <c r="AB65" i="8"/>
  <c r="AD417" i="8"/>
  <c r="AB417" i="8"/>
  <c r="AD194" i="8"/>
  <c r="AB194" i="8"/>
  <c r="AB349" i="8"/>
  <c r="AB113" i="8"/>
  <c r="AD110" i="8"/>
  <c r="AB110" i="8"/>
  <c r="AD304" i="8"/>
  <c r="AB304" i="8"/>
  <c r="AD72" i="8"/>
  <c r="AB72" i="8"/>
  <c r="AD379" i="8"/>
  <c r="AB379" i="8"/>
  <c r="AD450" i="8"/>
  <c r="AB450" i="8"/>
  <c r="AD24" i="8"/>
  <c r="AB24" i="8"/>
  <c r="AB432" i="8"/>
  <c r="AD96" i="8"/>
  <c r="AB96" i="8"/>
  <c r="AB268" i="8"/>
  <c r="AB191" i="8"/>
  <c r="AB354" i="8"/>
  <c r="AB453" i="8"/>
  <c r="AD315" i="8"/>
  <c r="AB315" i="8"/>
  <c r="AB133" i="8"/>
  <c r="AB473" i="8"/>
  <c r="AB153" i="8"/>
  <c r="AD251" i="8"/>
  <c r="AB251" i="8"/>
  <c r="AB126" i="8"/>
  <c r="AB404" i="8"/>
  <c r="AB380" i="8"/>
  <c r="AD373" i="8"/>
  <c r="AB373" i="8"/>
  <c r="AB287" i="8"/>
  <c r="AB464" i="8"/>
  <c r="AB190" i="8"/>
  <c r="AB336" i="8"/>
  <c r="AB68" i="8"/>
  <c r="AD258" i="8"/>
  <c r="AB258" i="8"/>
  <c r="AB59" i="8"/>
  <c r="AB180" i="8"/>
  <c r="AD161" i="8"/>
  <c r="AB161" i="8"/>
  <c r="AB107" i="8"/>
  <c r="AD57" i="8"/>
  <c r="AB57" i="8"/>
  <c r="AB121" i="8"/>
  <c r="AB154" i="8"/>
  <c r="AD281" i="8"/>
  <c r="AB281" i="8"/>
  <c r="AD93" i="8"/>
  <c r="AB93" i="8"/>
  <c r="AB322" i="8"/>
  <c r="AB292" i="8"/>
  <c r="AB293" i="8"/>
  <c r="AB394" i="8"/>
  <c r="AB52" i="8"/>
  <c r="AB303" i="8"/>
  <c r="AD90" i="8"/>
  <c r="AB90" i="8"/>
  <c r="AB353" i="8"/>
  <c r="AD274" i="8"/>
  <c r="AB274" i="8"/>
  <c r="AD172" i="8"/>
  <c r="AB172" i="8"/>
  <c r="AD446" i="8"/>
  <c r="AB446" i="8"/>
  <c r="AB240" i="8"/>
  <c r="X104" i="8"/>
  <c r="X382" i="8"/>
  <c r="AD37" i="8"/>
  <c r="AB37" i="8"/>
  <c r="AD73" i="8"/>
  <c r="AB73" i="8"/>
  <c r="AD197" i="8"/>
  <c r="AB197" i="8"/>
  <c r="AD181" i="8"/>
  <c r="AB181" i="8"/>
  <c r="AD362" i="8"/>
  <c r="AB362" i="8"/>
  <c r="AB382" i="8"/>
  <c r="AD120" i="8"/>
  <c r="AB120" i="8"/>
  <c r="AD148" i="8"/>
  <c r="AB148" i="8"/>
  <c r="AB462" i="8"/>
  <c r="AD201" i="8"/>
  <c r="AB201" i="8"/>
  <c r="X244" i="8"/>
  <c r="AD142" i="8"/>
  <c r="AD60" i="8"/>
  <c r="X264" i="8"/>
  <c r="AD481" i="8"/>
  <c r="AD457" i="8"/>
  <c r="X296" i="8"/>
  <c r="X209" i="8"/>
  <c r="X168" i="8"/>
  <c r="AD418" i="8"/>
  <c r="AD179" i="8"/>
  <c r="AB179" i="8"/>
  <c r="AB141" i="8"/>
  <c r="AD89" i="8"/>
  <c r="AB89" i="8"/>
  <c r="AD376" i="8"/>
  <c r="AB376" i="8"/>
  <c r="AD419" i="8"/>
  <c r="AB419" i="8"/>
  <c r="AD378" i="8"/>
  <c r="AB378" i="8"/>
  <c r="AB211" i="8"/>
  <c r="AD350" i="8"/>
  <c r="AB350" i="8"/>
  <c r="AD318" i="8"/>
  <c r="AB318" i="8"/>
  <c r="X108" i="8"/>
  <c r="X66" i="8"/>
  <c r="X470" i="8"/>
  <c r="X325" i="8"/>
  <c r="X295" i="8"/>
  <c r="AD66" i="8"/>
  <c r="AD155" i="8"/>
  <c r="X42" i="8"/>
  <c r="X170" i="8"/>
  <c r="AD377" i="8"/>
  <c r="X467" i="8"/>
  <c r="AD17" i="8"/>
  <c r="AD269" i="8"/>
  <c r="X23" i="8"/>
  <c r="X123" i="8"/>
  <c r="AD306" i="8"/>
  <c r="X71" i="8"/>
  <c r="X462" i="8"/>
  <c r="X34" i="8"/>
  <c r="AD69" i="8"/>
  <c r="AD202" i="8"/>
  <c r="X307" i="8"/>
  <c r="X484" i="8"/>
  <c r="X414" i="8"/>
  <c r="X353" i="8"/>
  <c r="X81" i="8"/>
  <c r="X426" i="8"/>
  <c r="X130" i="8"/>
  <c r="X379" i="8"/>
  <c r="X179" i="8"/>
  <c r="AD125" i="8"/>
  <c r="X91" i="8"/>
  <c r="X35" i="8"/>
  <c r="X463" i="8"/>
  <c r="X256" i="8"/>
  <c r="X51" i="8"/>
  <c r="X218" i="8"/>
  <c r="AD48" i="8"/>
  <c r="AD440" i="8"/>
  <c r="X480" i="8"/>
  <c r="X308" i="8"/>
  <c r="AD188" i="8"/>
  <c r="AD249" i="8"/>
  <c r="X399" i="8"/>
  <c r="X207" i="8"/>
  <c r="AD152" i="8"/>
  <c r="AD111" i="8"/>
  <c r="X166" i="8"/>
  <c r="AD326" i="8"/>
  <c r="X204" i="8"/>
  <c r="X53" i="8"/>
  <c r="X16" i="8"/>
  <c r="AD26" i="8"/>
  <c r="X257" i="8"/>
  <c r="X303" i="8"/>
  <c r="X193" i="8"/>
  <c r="AD305" i="8"/>
  <c r="AB143" i="8"/>
  <c r="AB228" i="8"/>
  <c r="AD372" i="8"/>
  <c r="AB372" i="8"/>
  <c r="AD80" i="8"/>
  <c r="AB80" i="8"/>
  <c r="AD426" i="8"/>
  <c r="AB426" i="8"/>
  <c r="AD459" i="8"/>
  <c r="AB459" i="8"/>
  <c r="AB130" i="8"/>
  <c r="AB139" i="8"/>
  <c r="AD177" i="8"/>
  <c r="AB177" i="8"/>
  <c r="AD345" i="8"/>
  <c r="AB345" i="8"/>
  <c r="AB217" i="8"/>
  <c r="AB100" i="8"/>
  <c r="AB246" i="8"/>
  <c r="AB272" i="8"/>
  <c r="AD186" i="8"/>
  <c r="AB186" i="8"/>
  <c r="AB39" i="8"/>
  <c r="AB406" i="8"/>
  <c r="AB115" i="8"/>
  <c r="AB395" i="8"/>
  <c r="AB213" i="8"/>
  <c r="AB344" i="8"/>
  <c r="AD138" i="8"/>
  <c r="AB138" i="8"/>
  <c r="AB204" i="8"/>
  <c r="AB355" i="8"/>
  <c r="AB182" i="8"/>
  <c r="AD30" i="8"/>
  <c r="AB30" i="8"/>
  <c r="AB484" i="8"/>
  <c r="AD18" i="8"/>
  <c r="AB18" i="8"/>
  <c r="AB243" i="8"/>
  <c r="AD445" i="8"/>
  <c r="AB445" i="8"/>
  <c r="AD83" i="8"/>
  <c r="AB83" i="8"/>
  <c r="AB198" i="8"/>
  <c r="AB45" i="8"/>
  <c r="AB437" i="8"/>
  <c r="AB402" i="8"/>
  <c r="AD265" i="8"/>
  <c r="AB265" i="8"/>
  <c r="AB275" i="8"/>
  <c r="AD375" i="8"/>
  <c r="AB375" i="8"/>
  <c r="AD390" i="8"/>
  <c r="AB390" i="8"/>
  <c r="AD482" i="8"/>
  <c r="AB482" i="8"/>
  <c r="AD74" i="8"/>
  <c r="AB74" i="8"/>
  <c r="AB224" i="8"/>
  <c r="AB273" i="8"/>
  <c r="AB264" i="8"/>
  <c r="AB28" i="8"/>
  <c r="AB112" i="8"/>
  <c r="AB364" i="8"/>
  <c r="AD316" i="8"/>
  <c r="AB316" i="8"/>
  <c r="AB279" i="8"/>
  <c r="AB27" i="8"/>
  <c r="AB289" i="8"/>
  <c r="AD164" i="8"/>
  <c r="AB164" i="8"/>
</calcChain>
</file>

<file path=xl/sharedStrings.xml><?xml version="1.0" encoding="utf-8"?>
<sst xmlns="http://schemas.openxmlformats.org/spreadsheetml/2006/main" count="7115" uniqueCount="477">
  <si>
    <t>Rationale:</t>
  </si>
  <si>
    <t>Index Title:</t>
  </si>
  <si>
    <t>Index Description:</t>
  </si>
  <si>
    <t>Status:</t>
  </si>
  <si>
    <t>Technical writer:</t>
  </si>
  <si>
    <t>Applicable Brands</t>
  </si>
  <si>
    <t>InterContinental</t>
  </si>
  <si>
    <t>InterContinental Resorts</t>
  </si>
  <si>
    <t>Holiday Inn</t>
  </si>
  <si>
    <t>Holiday Inn Express</t>
  </si>
  <si>
    <t>Holiday Inn Resorts</t>
  </si>
  <si>
    <t>Holiday Inn Club Vacations</t>
  </si>
  <si>
    <t>Crowne Plaza</t>
  </si>
  <si>
    <t>Crowne Plaza Resorts</t>
  </si>
  <si>
    <t>Hotel Indigo</t>
  </si>
  <si>
    <t>EVEN Hotels</t>
  </si>
  <si>
    <t>Staybridge Suites</t>
  </si>
  <si>
    <t>Candlewood Suites</t>
  </si>
  <si>
    <t>Applicable Regions</t>
  </si>
  <si>
    <t>Asia, Middle East &amp; Africa</t>
  </si>
  <si>
    <t>Americas</t>
  </si>
  <si>
    <t>Australia</t>
  </si>
  <si>
    <t>Bahrain</t>
  </si>
  <si>
    <t>Cambodia</t>
  </si>
  <si>
    <t>Egypt</t>
  </si>
  <si>
    <t>Fiji Islands</t>
  </si>
  <si>
    <t>French Polynesia/Tahiti</t>
  </si>
  <si>
    <t>Ghana</t>
  </si>
  <si>
    <t>India</t>
  </si>
  <si>
    <t>Indonesia</t>
  </si>
  <si>
    <t>Japan</t>
  </si>
  <si>
    <t>Jordan</t>
  </si>
  <si>
    <t>Kenya</t>
  </si>
  <si>
    <t>Korea, Republic of</t>
  </si>
  <si>
    <t>Kuwait</t>
  </si>
  <si>
    <t>Lebanon</t>
  </si>
  <si>
    <t>Libyan Arab Jamahiriya</t>
  </si>
  <si>
    <t>Malaysia</t>
  </si>
  <si>
    <t>Maldives</t>
  </si>
  <si>
    <t>Mauritius</t>
  </si>
  <si>
    <t>Nepal</t>
  </si>
  <si>
    <t>New Zealand</t>
  </si>
  <si>
    <t>Oman</t>
  </si>
  <si>
    <t>Palestine Authority</t>
  </si>
  <si>
    <t>Papua New Guinea</t>
  </si>
  <si>
    <t>Philippines</t>
  </si>
  <si>
    <t>Qatar</t>
  </si>
  <si>
    <t>Saudi Arabia</t>
  </si>
  <si>
    <t>Singapore</t>
  </si>
  <si>
    <t>South Africa</t>
  </si>
  <si>
    <t>Tanzania</t>
  </si>
  <si>
    <t>Thailand</t>
  </si>
  <si>
    <t>United Arab Emirates</t>
  </si>
  <si>
    <t>Vanuatu</t>
  </si>
  <si>
    <t>Vietnam</t>
  </si>
  <si>
    <t>Zambia</t>
  </si>
  <si>
    <t>Zimbabwe</t>
  </si>
  <si>
    <t>Argentina</t>
  </si>
  <si>
    <t>Aruba</t>
  </si>
  <si>
    <t>Bolivia</t>
  </si>
  <si>
    <t>Brazil</t>
  </si>
  <si>
    <t>Canada</t>
  </si>
  <si>
    <t>Chile</t>
  </si>
  <si>
    <t>Colombia</t>
  </si>
  <si>
    <t>Costa Rica</t>
  </si>
  <si>
    <t>Dominican Republic</t>
  </si>
  <si>
    <t>Ecuador</t>
  </si>
  <si>
    <t>El Salvador</t>
  </si>
  <si>
    <t>Guatemala</t>
  </si>
  <si>
    <t>Honduras</t>
  </si>
  <si>
    <t>Jamaica</t>
  </si>
  <si>
    <t>Mexico</t>
  </si>
  <si>
    <t>Nicaragua</t>
  </si>
  <si>
    <t>Panama</t>
  </si>
  <si>
    <t>Paraguay</t>
  </si>
  <si>
    <t>Peru</t>
  </si>
  <si>
    <t>Puerto Rico</t>
  </si>
  <si>
    <t>Trinidad &amp; Tobago</t>
  </si>
  <si>
    <t>United States</t>
  </si>
  <si>
    <t>Uruguay</t>
  </si>
  <si>
    <t>Venezuela</t>
  </si>
  <si>
    <t>Europe</t>
  </si>
  <si>
    <t>Andora</t>
  </si>
  <si>
    <t>Austria</t>
  </si>
  <si>
    <t>Azerbaijan</t>
  </si>
  <si>
    <t>Belarus</t>
  </si>
  <si>
    <t>Belgium</t>
  </si>
  <si>
    <t>Bulgaria</t>
  </si>
  <si>
    <t>Cyprus</t>
  </si>
  <si>
    <t>Czech Republic</t>
  </si>
  <si>
    <t>Denmark</t>
  </si>
  <si>
    <t>Finland</t>
  </si>
  <si>
    <t>France</t>
  </si>
  <si>
    <t>Georgia</t>
  </si>
  <si>
    <t>Germany</t>
  </si>
  <si>
    <t>Greece</t>
  </si>
  <si>
    <t>Hungary</t>
  </si>
  <si>
    <t>Ireland</t>
  </si>
  <si>
    <t>Israel</t>
  </si>
  <si>
    <t>Italy</t>
  </si>
  <si>
    <t>Kazakhstan</t>
  </si>
  <si>
    <t>Lithuania</t>
  </si>
  <si>
    <t>Macedonia, Republic of</t>
  </si>
  <si>
    <t>Malta</t>
  </si>
  <si>
    <t>Morocco</t>
  </si>
  <si>
    <t>Netherlands (Holland)</t>
  </si>
  <si>
    <t>Poland</t>
  </si>
  <si>
    <t>Portugal</t>
  </si>
  <si>
    <t>Romania</t>
  </si>
  <si>
    <t>Russia</t>
  </si>
  <si>
    <t>Serbia</t>
  </si>
  <si>
    <t>Slovakia</t>
  </si>
  <si>
    <t>Spain</t>
  </si>
  <si>
    <t>Switzerland</t>
  </si>
  <si>
    <t>Turkey</t>
  </si>
  <si>
    <t>Ukraine</t>
  </si>
  <si>
    <t>United Kingdom</t>
  </si>
  <si>
    <t>Uzbekistan</t>
  </si>
  <si>
    <t>Greater China</t>
  </si>
  <si>
    <t>Hong Kong</t>
  </si>
  <si>
    <t>Macau</t>
  </si>
  <si>
    <t>Taiwan</t>
  </si>
  <si>
    <t>China Mainland</t>
  </si>
  <si>
    <t>Standards Owner:</t>
  </si>
  <si>
    <t>Launch Date:</t>
  </si>
  <si>
    <t>Compliance Deadline:</t>
  </si>
  <si>
    <t>Brand Hallmark:</t>
  </si>
  <si>
    <t>Category:</t>
  </si>
  <si>
    <t>Department Applicability:</t>
  </si>
  <si>
    <t>Guest Journey:</t>
  </si>
  <si>
    <t>Location within Hotel:</t>
  </si>
  <si>
    <t>Manual:</t>
  </si>
  <si>
    <t>Corporate Department:</t>
  </si>
  <si>
    <t>Wheel Quadrant:</t>
  </si>
  <si>
    <t>Ownership Type:</t>
  </si>
  <si>
    <t>Finance:</t>
  </si>
  <si>
    <t>The Five Action Ps:</t>
  </si>
  <si>
    <t>Title:</t>
  </si>
  <si>
    <t>Filename:</t>
  </si>
  <si>
    <t>Type:</t>
  </si>
  <si>
    <t>URL:</t>
  </si>
  <si>
    <t>Specifications</t>
  </si>
  <si>
    <t>Under Development</t>
  </si>
  <si>
    <t>In Testing</t>
  </si>
  <si>
    <t>Awaiting approval</t>
  </si>
  <si>
    <t>Approved</t>
  </si>
  <si>
    <t>Launched</t>
  </si>
  <si>
    <t>Discontinued</t>
  </si>
  <si>
    <t>EM_Status</t>
  </si>
  <si>
    <t>EM_Yes_No</t>
  </si>
  <si>
    <t>Yes</t>
  </si>
  <si>
    <t>No</t>
  </si>
  <si>
    <t>Functional Framework</t>
  </si>
  <si>
    <t>Brand Framework</t>
  </si>
  <si>
    <t>Operations Framework</t>
  </si>
  <si>
    <t>Regional</t>
  </si>
  <si>
    <t>EM_Category</t>
  </si>
  <si>
    <t>Business Centre</t>
  </si>
  <si>
    <t>Club Lounge</t>
  </si>
  <si>
    <t>Concierge</t>
  </si>
  <si>
    <t>Conference &amp; Banqueting</t>
  </si>
  <si>
    <t>Engineering</t>
  </si>
  <si>
    <t>Finance</t>
  </si>
  <si>
    <t>Food and Beverage</t>
  </si>
  <si>
    <t>Front Office</t>
  </si>
  <si>
    <t>Guest Relations</t>
  </si>
  <si>
    <t>Housekeeping</t>
  </si>
  <si>
    <t>Human Resources</t>
  </si>
  <si>
    <t>Information Technology</t>
  </si>
  <si>
    <t>Laundry</t>
  </si>
  <si>
    <t>Leisure/Recreation</t>
  </si>
  <si>
    <t>Maintenance</t>
  </si>
  <si>
    <t>Marketing</t>
  </si>
  <si>
    <t>Public Relations</t>
  </si>
  <si>
    <t>Purchasing</t>
  </si>
  <si>
    <t>Quality</t>
  </si>
  <si>
    <t>Reservations</t>
  </si>
  <si>
    <t>Retail Outlets</t>
  </si>
  <si>
    <t>Revenue</t>
  </si>
  <si>
    <t>Room Service</t>
  </si>
  <si>
    <t>Sales</t>
  </si>
  <si>
    <t>Security</t>
  </si>
  <si>
    <t>Training</t>
  </si>
  <si>
    <t>EM_Department_Applicability</t>
  </si>
  <si>
    <t>1 (High)</t>
  </si>
  <si>
    <t>EM_Critical</t>
  </si>
  <si>
    <t>5 (Low)</t>
  </si>
  <si>
    <t>Awareness</t>
  </si>
  <si>
    <t>Make a booking</t>
  </si>
  <si>
    <t>Check-in</t>
  </si>
  <si>
    <t>Facilities - Lobby</t>
  </si>
  <si>
    <t>Facilities - Meetings and Events</t>
  </si>
  <si>
    <t>Facilities - Club Lounge</t>
  </si>
  <si>
    <t>Facilities - Concierge</t>
  </si>
  <si>
    <t>Departure</t>
  </si>
  <si>
    <t>Ongoing comms</t>
  </si>
  <si>
    <t>EM_Guest_Journey</t>
  </si>
  <si>
    <t>Pre-Walk</t>
  </si>
  <si>
    <t>Employee Areas</t>
  </si>
  <si>
    <t>Back Office</t>
  </si>
  <si>
    <t>Break Room/Canteen</t>
  </si>
  <si>
    <t>Housekeeping/Laundry</t>
  </si>
  <si>
    <t>Kitchen/Pantry</t>
  </si>
  <si>
    <t>Lockers/Restroom</t>
  </si>
  <si>
    <t>Maintenance Area</t>
  </si>
  <si>
    <t>Storage Area</t>
  </si>
  <si>
    <t>Service Corridor</t>
  </si>
  <si>
    <t>Exterior</t>
  </si>
  <si>
    <t>BBQ</t>
  </si>
  <si>
    <t>Building/Façade</t>
  </si>
  <si>
    <t>Grounds &amp; Landscaping</t>
  </si>
  <si>
    <t>Parking Area</t>
  </si>
  <si>
    <t>Porte Cochere/Canopy</t>
  </si>
  <si>
    <t>Sidewalks/Walkways</t>
  </si>
  <si>
    <t>Signage and Flags</t>
  </si>
  <si>
    <t>Stairwells</t>
  </si>
  <si>
    <t>Food &amp; Beverage</t>
  </si>
  <si>
    <t>Beverage Outlet</t>
  </si>
  <si>
    <t>Food Outlet</t>
  </si>
  <si>
    <t>Guest Floors</t>
  </si>
  <si>
    <t>Guest Corridor</t>
  </si>
  <si>
    <t>Guest Laundry</t>
  </si>
  <si>
    <t>Guest Floor Stairwells</t>
  </si>
  <si>
    <t>Vending</t>
  </si>
  <si>
    <t>Guestrooms</t>
  </si>
  <si>
    <t>Bath Zone</t>
  </si>
  <si>
    <t>Bed Zone</t>
  </si>
  <si>
    <t>Kitchenette/Refreshment Zone</t>
  </si>
  <si>
    <t>Living Zone</t>
  </si>
  <si>
    <t>Wardrobe Zone</t>
  </si>
  <si>
    <t>Work &amp; Entertainment Zone</t>
  </si>
  <si>
    <t>Meeting Space</t>
  </si>
  <si>
    <t>Meeting Room</t>
  </si>
  <si>
    <t>Pre-Function Space</t>
  </si>
  <si>
    <t>Public Areas</t>
  </si>
  <si>
    <t>Business Center</t>
  </si>
  <si>
    <t>Public Corridor</t>
  </si>
  <si>
    <t>Elevator</t>
  </si>
  <si>
    <t>Lobby</t>
  </si>
  <si>
    <t>Front Desk</t>
  </si>
  <si>
    <t>Public Restroom</t>
  </si>
  <si>
    <t>Retail Space</t>
  </si>
  <si>
    <t>Recreational / Leisure</t>
  </si>
  <si>
    <t>Changing Rooms</t>
  </si>
  <si>
    <t>Fitness/Gym</t>
  </si>
  <si>
    <t>Game Room</t>
  </si>
  <si>
    <t>Pool (Outdoor &amp; Indoor)</t>
  </si>
  <si>
    <t>Sauna</t>
  </si>
  <si>
    <t>Spa</t>
  </si>
  <si>
    <t>Sports Court</t>
  </si>
  <si>
    <t>Steam Room</t>
  </si>
  <si>
    <t>Whirlpool (Outdoor &amp; Indoor)</t>
  </si>
  <si>
    <t>EM_Location_within_Hotel</t>
  </si>
  <si>
    <t>Build &amp; Refurbishment</t>
  </si>
  <si>
    <t>Operate</t>
  </si>
  <si>
    <t>EM_Manual</t>
  </si>
  <si>
    <t>Audit</t>
  </si>
  <si>
    <t>Brand</t>
  </si>
  <si>
    <t>Communications</t>
  </si>
  <si>
    <t>Design &amp; Engineering</t>
  </si>
  <si>
    <t>Hotel Openings</t>
  </si>
  <si>
    <t xml:space="preserve">Legal </t>
  </si>
  <si>
    <t>Operations</t>
  </si>
  <si>
    <t>Procurement</t>
  </si>
  <si>
    <t>Revenue Management</t>
  </si>
  <si>
    <t>Risk</t>
  </si>
  <si>
    <t>Sales &amp; Marketing</t>
  </si>
  <si>
    <t>Corporate Responsibility</t>
  </si>
  <si>
    <t>Global Technology</t>
  </si>
  <si>
    <t>EM_Corporate_Department</t>
  </si>
  <si>
    <t>Financial Returns</t>
  </si>
  <si>
    <t xml:space="preserve"> - Achieve revenue targets</t>
  </si>
  <si>
    <t xml:space="preserve"> - Beat the competition</t>
  </si>
  <si>
    <t xml:space="preserve"> - Achieve profit targets</t>
  </si>
  <si>
    <t xml:space="preserve"> - Operate Efficiently</t>
  </si>
  <si>
    <t>Our People</t>
  </si>
  <si>
    <t xml:space="preserve"> - Love our Jobs</t>
  </si>
  <si>
    <t xml:space="preserve"> - Live our Winning Ways</t>
  </si>
  <si>
    <t xml:space="preserve"> - Create 'Room to be yourself'</t>
  </si>
  <si>
    <t xml:space="preserve"> - Develop our skills</t>
  </si>
  <si>
    <t>Guest Experience</t>
  </si>
  <si>
    <t xml:space="preserve"> - Run a great hotel</t>
  </si>
  <si>
    <t xml:space="preserve"> - Make it a great company</t>
  </si>
  <si>
    <t xml:space="preserve"> - Guest Love our hotel</t>
  </si>
  <si>
    <t>Responsible Business</t>
  </si>
  <si>
    <t xml:space="preserve"> - Reduce our impact on the environment</t>
  </si>
  <si>
    <t xml:space="preserve"> - Support the community</t>
  </si>
  <si>
    <t xml:space="preserve"> - Manage risk</t>
  </si>
  <si>
    <t xml:space="preserve"> - A safe hotel</t>
  </si>
  <si>
    <t>EM_Wheel_Quadrant</t>
  </si>
  <si>
    <t>Franchise</t>
  </si>
  <si>
    <t>Managed</t>
  </si>
  <si>
    <t>Owned</t>
  </si>
  <si>
    <t>EM_Ownership_Type</t>
  </si>
  <si>
    <t>Construction (CAPEX)</t>
  </si>
  <si>
    <t>Maintenance (P&amp;L)</t>
  </si>
  <si>
    <t>EM_Finance</t>
  </si>
  <si>
    <t>People</t>
  </si>
  <si>
    <t>Product</t>
  </si>
  <si>
    <t>Price</t>
  </si>
  <si>
    <t>Place</t>
  </si>
  <si>
    <t>Promotion</t>
  </si>
  <si>
    <t>EM_The_Five_Action_Ps</t>
  </si>
  <si>
    <t>Standard Operating Procedure (SOP)</t>
  </si>
  <si>
    <t>Measurement SOP</t>
  </si>
  <si>
    <t>Guideline</t>
  </si>
  <si>
    <t>Briefing Notes</t>
  </si>
  <si>
    <t>Design &amp; Engineering Guideline</t>
  </si>
  <si>
    <t>Communications Guideline</t>
  </si>
  <si>
    <t>Communications Template</t>
  </si>
  <si>
    <t>Amendment Change Impact</t>
  </si>
  <si>
    <t>Standards Form</t>
  </si>
  <si>
    <t>Pilot Results</t>
  </si>
  <si>
    <t>Review Summary</t>
  </si>
  <si>
    <t>Table</t>
  </si>
  <si>
    <t>EM_IHG_Supporting_Link_Types</t>
  </si>
  <si>
    <t>Hotel Training</t>
  </si>
  <si>
    <t>Internal Training</t>
  </si>
  <si>
    <t>Hotel Ready Plan</t>
  </si>
  <si>
    <t>Implementation Plan</t>
  </si>
  <si>
    <t>Optional</t>
  </si>
  <si>
    <t>IGNORE THESE!</t>
  </si>
  <si>
    <t>EM_New_Amend_Delete</t>
  </si>
  <si>
    <t>New</t>
  </si>
  <si>
    <t>Amend</t>
  </si>
  <si>
    <t>Delete</t>
  </si>
  <si>
    <t>Attachment #1</t>
  </si>
  <si>
    <t>Attachment #2</t>
  </si>
  <si>
    <t>Attachment #3</t>
  </si>
  <si>
    <t>Attachment #4</t>
  </si>
  <si>
    <t>Attachment #5</t>
  </si>
  <si>
    <t>Attachments</t>
  </si>
  <si>
    <t>Attachments should be used to store documents that are only relevant to this standard and do not exist elsewhere within IHG.  For example documents that are stored and maintained on Merlin should be referenced using links below.</t>
  </si>
  <si>
    <t>Links</t>
  </si>
  <si>
    <t>Link #1</t>
  </si>
  <si>
    <t>Link #2</t>
  </si>
  <si>
    <t>Link #3</t>
  </si>
  <si>
    <t>Link #4</t>
  </si>
  <si>
    <t>Link #5</t>
  </si>
  <si>
    <t>Links should be used to reference relevant documentation on Merlin or external Websites that are relevant to this standard.  Enter a user friendly title for the link and then  the web address for the document itself.</t>
  </si>
  <si>
    <t>Importance:</t>
  </si>
  <si>
    <t>HUALUXE</t>
  </si>
  <si>
    <t>Suggest New Index Title:</t>
  </si>
  <si>
    <t>New Index Description:</t>
  </si>
  <si>
    <t>Guidelines</t>
  </si>
  <si>
    <t>Befor I arrive</t>
  </si>
  <si>
    <t>Arrival</t>
  </si>
  <si>
    <t>Journey within the hotel</t>
  </si>
  <si>
    <t xml:space="preserve">My room </t>
  </si>
  <si>
    <t xml:space="preserve">Facilities - F&amp;B </t>
  </si>
  <si>
    <t xml:space="preserve">Facilities – Fitness and Recreation </t>
  </si>
  <si>
    <t>Facilities - Business Services</t>
  </si>
  <si>
    <t xml:space="preserve">Facilities – Additional Guest Services </t>
  </si>
  <si>
    <t>Checkbox</t>
  </si>
  <si>
    <t>●</t>
  </si>
  <si>
    <t>Foundation framework</t>
  </si>
  <si>
    <t>Brand framework</t>
  </si>
  <si>
    <t>Operations framework</t>
  </si>
  <si>
    <t>GLOBAL</t>
  </si>
  <si>
    <t>–</t>
  </si>
  <si>
    <t>Select / Deselect All</t>
  </si>
  <si>
    <t>Select / Deselect ALL</t>
  </si>
  <si>
    <t>A set of stages tracking the guest experience before, during, and after their stay in a hotel. Select all that apply.</t>
  </si>
  <si>
    <t>My room</t>
  </si>
  <si>
    <t xml:space="preserve"> </t>
  </si>
  <si>
    <t>Facilities - F&amp;B</t>
  </si>
  <si>
    <t>Facilities – Fitness and Recreation</t>
  </si>
  <si>
    <t>Facilities – Additional Guest Services</t>
  </si>
  <si>
    <t>Legal</t>
  </si>
  <si>
    <t>Please select only one area of the wheel</t>
  </si>
  <si>
    <t>Attachment #6</t>
  </si>
  <si>
    <t>Specification Document</t>
  </si>
  <si>
    <t>Toolkit</t>
  </si>
  <si>
    <t>Handbook</t>
  </si>
  <si>
    <t>Link #6</t>
  </si>
  <si>
    <t>Measurement:</t>
  </si>
  <si>
    <t>Comments:</t>
  </si>
  <si>
    <t>New / Existing / Delete:</t>
  </si>
  <si>
    <t>Impact Assessment:</t>
  </si>
  <si>
    <t>Additional Notes</t>
  </si>
  <si>
    <t>SPECIFICATION - Set Up Form</t>
  </si>
  <si>
    <t>Specification:</t>
  </si>
  <si>
    <t>Please note that you cannot have a specification that applies to Brands outside the scope of the Standard</t>
  </si>
  <si>
    <t>Specifications cannot apply to Countries outside the scope of the Standard</t>
  </si>
  <si>
    <t>The status identifies at what point in the process this specification resides</t>
  </si>
  <si>
    <t>Select the source category for this specification</t>
  </si>
  <si>
    <t>The hotel department(s) to which this specification will apply</t>
  </si>
  <si>
    <t>The department responsible for creating the specification</t>
  </si>
  <si>
    <t>Guideline - Set Up Form</t>
  </si>
  <si>
    <t>Guideline:</t>
  </si>
  <si>
    <t>IntProv0001Spec16/09/2012 19:00:34</t>
  </si>
  <si>
    <t>IntProv0001Guide16/09/2012 19:01:17</t>
  </si>
  <si>
    <t>HeartBeat</t>
  </si>
  <si>
    <t>Text</t>
  </si>
  <si>
    <t>Rationale</t>
  </si>
  <si>
    <t>Index Title</t>
  </si>
  <si>
    <t>Index Description</t>
  </si>
  <si>
    <t>•</t>
  </si>
  <si>
    <t>Sheets("Master Data").Range(</t>
  </si>
  <si>
    <t>).Value</t>
  </si>
  <si>
    <t>Discontinued_MDLoc</t>
  </si>
  <si>
    <t>Under_Development_MDLoc</t>
  </si>
  <si>
    <t>In_Testing_MDLoc</t>
  </si>
  <si>
    <t>Awaiting_approval_MDLoc</t>
  </si>
  <si>
    <t>Approved_MDLoc</t>
  </si>
  <si>
    <t>Launched_MDLoc</t>
  </si>
  <si>
    <t>Sheets("Standards Input").Range(Under_Development_ISLoc).Value</t>
  </si>
  <si>
    <t xml:space="preserve">    Sheets("Standards Input").Range(In_Testing_ISLoc).Value</t>
  </si>
  <si>
    <t xml:space="preserve">    Sheets("Standards Input").Range(Awaiting_approval_ISLoc).Value</t>
  </si>
  <si>
    <t xml:space="preserve">    Sheets("Standards Input").Range(Approved_ISLoc).Value</t>
  </si>
  <si>
    <t xml:space="preserve">    Sheets("Standards Input").Range(Launched_ISLoc).Value</t>
  </si>
  <si>
    <t xml:space="preserve">    Sheets("Standards Input").Range(Discontinued_ISLoc).Value</t>
  </si>
  <si>
    <t xml:space="preserve"> = </t>
  </si>
  <si>
    <t>Ref</t>
  </si>
  <si>
    <t>Variable Name</t>
  </si>
  <si>
    <t>Type</t>
  </si>
  <si>
    <t>Dim</t>
  </si>
  <si>
    <t>MDLoc</t>
  </si>
  <si>
    <t>Col No.</t>
  </si>
  <si>
    <t>Col Ref.</t>
  </si>
  <si>
    <t>MD Col</t>
  </si>
  <si>
    <t>ISLoc</t>
  </si>
  <si>
    <t>IS Cell</t>
  </si>
  <si>
    <t>"</t>
  </si>
  <si>
    <t>Value Text</t>
  </si>
  <si>
    <t>Will need this later to convert Master into SQL</t>
  </si>
  <si>
    <t>To assign to variable</t>
  </si>
  <si>
    <t>=</t>
  </si>
  <si>
    <t>Sheets("Standards Input").Range(</t>
  </si>
  <si>
    <t>SI Value - Start</t>
  </si>
  <si>
    <t>SI Value String</t>
  </si>
  <si>
    <t>RowNo</t>
  </si>
  <si>
    <t>MD Value - Start</t>
  </si>
  <si>
    <t>Value - End</t>
  </si>
  <si>
    <t>MD Value String</t>
  </si>
  <si>
    <t xml:space="preserve"> &amp; </t>
  </si>
  <si>
    <t>SAVE</t>
  </si>
  <si>
    <t>SHOW</t>
  </si>
  <si>
    <t>Technical Writer</t>
  </si>
  <si>
    <t>Brands</t>
  </si>
  <si>
    <t>Title</t>
  </si>
  <si>
    <t>Filename</t>
  </si>
  <si>
    <t>URL</t>
  </si>
  <si>
    <t>Links should be used to reference relevant documentation on Merlin or external Websites that are relevant to this standard.  Enter a user friendly title for the link and then  the web address for the document itself. Note start each URL with http://www.</t>
  </si>
  <si>
    <t>Flag</t>
  </si>
  <si>
    <t>Multi Input</t>
  </si>
  <si>
    <t>MAI Cell</t>
  </si>
  <si>
    <t>MAI Value -Start</t>
  </si>
  <si>
    <t>Sheets("Multi Attributes Input").Range(</t>
  </si>
  <si>
    <t>MAI Value String</t>
  </si>
  <si>
    <t>COPY  TO MAI</t>
  </si>
  <si>
    <t>COPY  MAI TO MASTER DATA</t>
  </si>
  <si>
    <t>Enter a 'c' in column A of the Master Data tab against all the standards, specifications and guidelines that you wish  to copy these attributes to and click the 'UPDATE Master Data' button.</t>
  </si>
  <si>
    <t>IndexID</t>
  </si>
  <si>
    <t>STD ID</t>
  </si>
  <si>
    <t>Brand Safety Standards</t>
  </si>
  <si>
    <t>Measurement</t>
  </si>
  <si>
    <t>Mystery Guest</t>
  </si>
  <si>
    <t>Standard ID</t>
  </si>
  <si>
    <t>GEM Reporting Categories</t>
  </si>
  <si>
    <t>Cleanliness</t>
  </si>
  <si>
    <t>Condition</t>
  </si>
  <si>
    <t>IHG Way</t>
  </si>
  <si>
    <t>Service Standards</t>
  </si>
  <si>
    <t>Area of the Hotel for Measurement</t>
  </si>
  <si>
    <t>Area of the Hotel for Measurement:</t>
  </si>
  <si>
    <t>GEM Reporting Categories:</t>
  </si>
  <si>
    <t>Please select what apply</t>
  </si>
  <si>
    <t>Please select onlywhat apply</t>
  </si>
  <si>
    <t>Self Assessment</t>
  </si>
  <si>
    <t>On-site Evaluation</t>
  </si>
  <si>
    <t>Off-site Evaluation</t>
  </si>
  <si>
    <t>Guest Room</t>
  </si>
  <si>
    <t>Open Lobby</t>
  </si>
  <si>
    <t>Multi Attribute Assignment Form</t>
  </si>
  <si>
    <t>I've copied these attributes to the 2 rows you requested, my Lord</t>
  </si>
  <si>
    <t>Quality attributes</t>
  </si>
</sst>
</file>

<file path=xl/styles.xml><?xml version="1.0" encoding="utf-8"?>
<styleSheet xmlns="http://schemas.openxmlformats.org/spreadsheetml/2006/main" xmlns:mc="http://schemas.openxmlformats.org/markup-compatibility/2006" xmlns:x14ac="http://schemas.microsoft.com/office/spreadsheetml/2009/9/ac" mc:Ignorable="x14ac">
  <fonts count="52" x14ac:knownFonts="1">
    <font>
      <sz val="11"/>
      <color theme="1"/>
      <name val="Calibri"/>
      <family val="2"/>
      <scheme val="minor"/>
    </font>
    <font>
      <sz val="18"/>
      <color theme="9" tint="-0.499984740745262"/>
      <name val="Arial"/>
      <family val="2"/>
    </font>
    <font>
      <i/>
      <sz val="9"/>
      <name val="Arial"/>
      <family val="2"/>
    </font>
    <font>
      <sz val="8"/>
      <color theme="0" tint="-0.34998626667073579"/>
      <name val="Arial"/>
      <family val="2"/>
    </font>
    <font>
      <i/>
      <sz val="9"/>
      <color theme="0" tint="-0.499984740745262"/>
      <name val="Arial"/>
      <family val="2"/>
    </font>
    <font>
      <b/>
      <sz val="11"/>
      <color theme="9" tint="-0.249977111117893"/>
      <name val="Arial"/>
      <family val="2"/>
    </font>
    <font>
      <sz val="10"/>
      <name val="Arial"/>
      <family val="2"/>
    </font>
    <font>
      <sz val="11"/>
      <color theme="6"/>
      <name val="Calibri"/>
      <family val="2"/>
      <scheme val="minor"/>
    </font>
    <font>
      <b/>
      <sz val="10"/>
      <name val="Arial"/>
      <family val="2"/>
    </font>
    <font>
      <sz val="11"/>
      <name val="Calibri"/>
      <family val="2"/>
      <scheme val="minor"/>
    </font>
    <font>
      <b/>
      <sz val="8"/>
      <color theme="6"/>
      <name val="Calibri"/>
      <family val="2"/>
      <scheme val="minor"/>
    </font>
    <font>
      <sz val="11"/>
      <color theme="9" tint="-0.249977111117893"/>
      <name val="Arial"/>
      <family val="2"/>
    </font>
    <font>
      <u/>
      <sz val="11"/>
      <color theme="10"/>
      <name val="Calibri"/>
      <family val="2"/>
      <scheme val="minor"/>
    </font>
    <font>
      <b/>
      <sz val="10"/>
      <color rgb="FFFF0000"/>
      <name val="Arial"/>
      <family val="2"/>
    </font>
    <font>
      <sz val="10"/>
      <name val="Calibri"/>
      <family val="2"/>
      <scheme val="minor"/>
    </font>
    <font>
      <sz val="9"/>
      <color theme="1"/>
      <name val="Calibri"/>
      <family val="2"/>
      <scheme val="minor"/>
    </font>
    <font>
      <b/>
      <sz val="11"/>
      <color theme="3" tint="-0.249977111117893"/>
      <name val="Arial"/>
      <family val="2"/>
    </font>
    <font>
      <b/>
      <sz val="11"/>
      <color theme="3" tint="-0.249977111117893"/>
      <name val="Calibri"/>
      <family val="2"/>
      <scheme val="minor"/>
    </font>
    <font>
      <i/>
      <sz val="11"/>
      <color theme="1"/>
      <name val="Calibri"/>
      <family val="2"/>
      <scheme val="minor"/>
    </font>
    <font>
      <b/>
      <sz val="11"/>
      <color theme="9" tint="0.39997558519241921"/>
      <name val="Arial"/>
      <family val="2"/>
    </font>
    <font>
      <sz val="11"/>
      <color theme="1"/>
      <name val="Calibri"/>
      <family val="2"/>
    </font>
    <font>
      <i/>
      <sz val="11"/>
      <color theme="6" tint="-0.249977111117893"/>
      <name val="Calibri"/>
      <family val="2"/>
      <scheme val="minor"/>
    </font>
    <font>
      <sz val="8"/>
      <color theme="6" tint="-0.499984740745262"/>
      <name val="Calibri"/>
      <family val="2"/>
      <scheme val="minor"/>
    </font>
    <font>
      <i/>
      <sz val="8"/>
      <color theme="6" tint="-0.249977111117893"/>
      <name val="Calibri"/>
      <family val="2"/>
      <scheme val="minor"/>
    </font>
    <font>
      <i/>
      <sz val="9"/>
      <color theme="0"/>
      <name val="Arial"/>
      <family val="2"/>
    </font>
    <font>
      <sz val="11"/>
      <color theme="0"/>
      <name val="Calibri"/>
      <family val="2"/>
      <scheme val="minor"/>
    </font>
    <font>
      <b/>
      <sz val="11"/>
      <name val="Calibri"/>
      <family val="2"/>
      <scheme val="minor"/>
    </font>
    <font>
      <b/>
      <sz val="11"/>
      <color theme="1"/>
      <name val="Calibri"/>
      <family val="2"/>
      <scheme val="minor"/>
    </font>
    <font>
      <sz val="8"/>
      <color theme="0"/>
      <name val="Calibri"/>
      <family val="2"/>
      <scheme val="minor"/>
    </font>
    <font>
      <b/>
      <sz val="11"/>
      <color theme="4" tint="-0.249977111117893"/>
      <name val="Arial"/>
      <family val="2"/>
    </font>
    <font>
      <sz val="11"/>
      <color theme="4" tint="-0.249977111117893"/>
      <name val="Calibri"/>
      <family val="2"/>
      <scheme val="minor"/>
    </font>
    <font>
      <sz val="11"/>
      <color theme="4" tint="-0.249977111117893"/>
      <name val="Arial"/>
      <family val="2"/>
    </font>
    <font>
      <b/>
      <sz val="11"/>
      <color theme="6" tint="-0.249977111117893"/>
      <name val="Arial"/>
      <family val="2"/>
    </font>
    <font>
      <sz val="11"/>
      <color theme="6" tint="-0.249977111117893"/>
      <name val="Calibri"/>
      <family val="2"/>
      <scheme val="minor"/>
    </font>
    <font>
      <sz val="11"/>
      <color theme="6" tint="-0.249977111117893"/>
      <name val="Arial"/>
      <family val="2"/>
    </font>
    <font>
      <sz val="18"/>
      <color theme="4" tint="-0.249977111117893"/>
      <name val="Arial"/>
      <family val="2"/>
    </font>
    <font>
      <b/>
      <sz val="10"/>
      <color theme="6" tint="-0.249977111117893"/>
      <name val="Arial"/>
      <family val="2"/>
    </font>
    <font>
      <sz val="11"/>
      <color theme="6" tint="-0.249977111117893"/>
      <name val="Calibri"/>
      <family val="2"/>
    </font>
    <font>
      <sz val="10"/>
      <color theme="6" tint="-0.249977111117893"/>
      <name val="Calibri"/>
      <family val="2"/>
      <scheme val="minor"/>
    </font>
    <font>
      <sz val="10"/>
      <color theme="6" tint="-0.249977111117893"/>
      <name val="Arial"/>
      <family val="2"/>
    </font>
    <font>
      <b/>
      <sz val="11"/>
      <color theme="6" tint="-0.249977111117893"/>
      <name val="Calibri"/>
      <family val="2"/>
      <scheme val="minor"/>
    </font>
    <font>
      <sz val="18"/>
      <color theme="6" tint="-0.249977111117893"/>
      <name val="Arial"/>
      <family val="2"/>
    </font>
    <font>
      <sz val="9"/>
      <color rgb="FFFF0000"/>
      <name val="Calibri"/>
      <family val="2"/>
      <scheme val="minor"/>
    </font>
    <font>
      <b/>
      <sz val="11"/>
      <color rgb="FFFF0000"/>
      <name val="Calibri"/>
      <family val="2"/>
      <scheme val="minor"/>
    </font>
    <font>
      <b/>
      <sz val="11"/>
      <color theme="0"/>
      <name val="Calibri"/>
      <family val="2"/>
      <scheme val="minor"/>
    </font>
    <font>
      <sz val="8"/>
      <color theme="1"/>
      <name val="Calibri"/>
      <family val="2"/>
      <scheme val="minor"/>
    </font>
    <font>
      <b/>
      <sz val="11"/>
      <color rgb="FF0070C0"/>
      <name val="Calibri"/>
      <family val="2"/>
      <scheme val="minor"/>
    </font>
    <font>
      <i/>
      <sz val="9"/>
      <color theme="6" tint="-0.249977111117893"/>
      <name val="Calibri"/>
      <family val="2"/>
      <scheme val="minor"/>
    </font>
    <font>
      <b/>
      <sz val="10"/>
      <color rgb="FF0070C0"/>
      <name val="Arial"/>
      <family val="2"/>
    </font>
    <font>
      <b/>
      <sz val="12"/>
      <name val="Arial"/>
      <family val="2"/>
    </font>
    <font>
      <sz val="11"/>
      <color rgb="FF000000"/>
      <name val="Calibri"/>
      <family val="2"/>
    </font>
    <font>
      <sz val="9"/>
      <color rgb="FF222222"/>
      <name val="Consolas"/>
      <family val="3"/>
    </font>
  </fonts>
  <fills count="19">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FC000"/>
        <bgColor indexed="64"/>
      </patternFill>
    </fill>
    <fill>
      <patternFill patternType="solid">
        <fgColor rgb="FFFF0000"/>
        <bgColor indexed="64"/>
      </patternFill>
    </fill>
    <fill>
      <patternFill patternType="solid">
        <fgColor theme="1"/>
        <bgColor indexed="64"/>
      </patternFill>
    </fill>
    <fill>
      <patternFill patternType="solid">
        <fgColor theme="6" tint="-0.249977111117893"/>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rgb="FF00B050"/>
        <bgColor indexed="64"/>
      </patternFill>
    </fill>
  </fills>
  <borders count="13">
    <border>
      <left/>
      <right/>
      <top/>
      <bottom/>
      <diagonal/>
    </border>
    <border>
      <left style="dashDot">
        <color theme="9" tint="-0.24994659260841701"/>
      </left>
      <right style="dashDot">
        <color theme="9" tint="-0.24994659260841701"/>
      </right>
      <top style="dashDot">
        <color theme="9" tint="-0.24994659260841701"/>
      </top>
      <bottom style="dashDot">
        <color theme="9" tint="-0.24994659260841701"/>
      </bottom>
      <diagonal/>
    </border>
    <border>
      <left style="double">
        <color theme="9" tint="-0.24994659260841701"/>
      </left>
      <right style="double">
        <color theme="9" tint="-0.24994659260841701"/>
      </right>
      <top style="double">
        <color theme="9" tint="-0.24994659260841701"/>
      </top>
      <bottom style="double">
        <color theme="9" tint="-0.24994659260841701"/>
      </bottom>
      <diagonal/>
    </border>
    <border>
      <left style="dashed">
        <color theme="9" tint="-0.24994659260841701"/>
      </left>
      <right style="dashed">
        <color theme="9" tint="-0.24994659260841701"/>
      </right>
      <top style="dashed">
        <color theme="9" tint="-0.24994659260841701"/>
      </top>
      <bottom style="dashed">
        <color theme="9" tint="-0.24994659260841701"/>
      </bottom>
      <diagonal/>
    </border>
    <border>
      <left style="dashDot">
        <color theme="9" tint="-0.24994659260841701"/>
      </left>
      <right/>
      <top/>
      <bottom/>
      <diagonal/>
    </border>
    <border>
      <left style="dashDot">
        <color theme="9" tint="-0.24994659260841701"/>
      </left>
      <right/>
      <top style="dashDot">
        <color theme="9" tint="-0.24994659260841701"/>
      </top>
      <bottom style="dashDot">
        <color theme="9" tint="-0.24994659260841701"/>
      </bottom>
      <diagonal/>
    </border>
    <border>
      <left/>
      <right/>
      <top style="dashDot">
        <color theme="9" tint="-0.24994659260841701"/>
      </top>
      <bottom style="dashDot">
        <color theme="9" tint="-0.24994659260841701"/>
      </bottom>
      <diagonal/>
    </border>
    <border>
      <left/>
      <right style="dashDot">
        <color theme="9" tint="-0.24994659260841701"/>
      </right>
      <top style="dashDot">
        <color theme="9" tint="-0.24994659260841701"/>
      </top>
      <bottom style="dashDot">
        <color theme="9" tint="-0.24994659260841701"/>
      </bottom>
      <diagonal/>
    </border>
    <border>
      <left style="double">
        <color theme="9" tint="-0.24994659260841701"/>
      </left>
      <right/>
      <top style="double">
        <color theme="9" tint="-0.24994659260841701"/>
      </top>
      <bottom style="double">
        <color theme="9" tint="-0.24994659260841701"/>
      </bottom>
      <diagonal/>
    </border>
    <border>
      <left/>
      <right/>
      <top style="double">
        <color theme="9" tint="-0.24994659260841701"/>
      </top>
      <bottom style="double">
        <color theme="9" tint="-0.24994659260841701"/>
      </bottom>
      <diagonal/>
    </border>
    <border>
      <left/>
      <right style="double">
        <color theme="9" tint="-0.24994659260841701"/>
      </right>
      <top style="double">
        <color theme="9" tint="-0.24994659260841701"/>
      </top>
      <bottom style="double">
        <color theme="9" tint="-0.24994659260841701"/>
      </bottom>
      <diagonal/>
    </border>
    <border>
      <left style="thick">
        <color theme="0" tint="-0.34998626667073579"/>
      </left>
      <right style="thick">
        <color theme="0" tint="-0.34998626667073579"/>
      </right>
      <top style="thick">
        <color theme="0" tint="-0.34998626667073579"/>
      </top>
      <bottom style="thick">
        <color theme="0" tint="-0.34998626667073579"/>
      </bottom>
      <diagonal/>
    </border>
    <border>
      <left/>
      <right/>
      <top style="dashed">
        <color theme="9" tint="-0.24994659260841701"/>
      </top>
      <bottom style="dashed">
        <color theme="9" tint="-0.24994659260841701"/>
      </bottom>
      <diagonal/>
    </border>
  </borders>
  <cellStyleXfs count="2">
    <xf numFmtId="0" fontId="0" fillId="0" borderId="0"/>
    <xf numFmtId="0" fontId="12" fillId="0" borderId="0" applyNumberFormat="0" applyFill="0" applyBorder="0" applyAlignment="0" applyProtection="0"/>
  </cellStyleXfs>
  <cellXfs count="206">
    <xf numFmtId="0" fontId="0" fillId="0" borderId="0" xfId="0"/>
    <xf numFmtId="0" fontId="2" fillId="2" borderId="1" xfId="0" applyFont="1" applyFill="1" applyBorder="1" applyAlignment="1" applyProtection="1">
      <alignment horizontal="left" vertical="center" wrapText="1"/>
      <protection locked="0"/>
    </xf>
    <xf numFmtId="0" fontId="12" fillId="2" borderId="1" xfId="1" applyFill="1" applyBorder="1" applyAlignment="1" applyProtection="1">
      <alignment horizontal="left" vertical="center" wrapText="1"/>
      <protection locked="0"/>
    </xf>
    <xf numFmtId="0" fontId="2" fillId="4" borderId="2" xfId="0" applyFont="1" applyFill="1" applyBorder="1" applyAlignment="1" applyProtection="1">
      <alignment horizontal="left" vertical="center" wrapText="1"/>
      <protection locked="0"/>
    </xf>
    <xf numFmtId="0" fontId="2" fillId="2" borderId="1" xfId="0" applyFont="1" applyFill="1" applyBorder="1" applyAlignment="1" applyProtection="1">
      <alignment horizontal="left" vertical="center" wrapText="1" indent="1"/>
      <protection locked="0"/>
    </xf>
    <xf numFmtId="0" fontId="15" fillId="2" borderId="2" xfId="0" applyFont="1" applyFill="1" applyBorder="1" applyAlignment="1" applyProtection="1">
      <alignment horizontal="left" vertical="center" indent="1"/>
      <protection locked="0"/>
    </xf>
    <xf numFmtId="0" fontId="0" fillId="0" borderId="0" xfId="0" applyProtection="1"/>
    <xf numFmtId="0" fontId="0" fillId="0" borderId="0" xfId="0" applyAlignment="1" applyProtection="1">
      <alignment horizontal="right"/>
    </xf>
    <xf numFmtId="0" fontId="5" fillId="0" borderId="0" xfId="0" applyFont="1" applyAlignment="1" applyProtection="1">
      <alignment horizontal="right" vertical="top" indent="1"/>
    </xf>
    <xf numFmtId="0" fontId="3" fillId="0" borderId="0" xfId="0" applyFont="1" applyAlignment="1" applyProtection="1">
      <alignment horizontal="left" vertical="center" indent="1"/>
    </xf>
    <xf numFmtId="0" fontId="4" fillId="0" borderId="0" xfId="0" applyFont="1" applyFill="1" applyBorder="1" applyAlignment="1" applyProtection="1"/>
    <xf numFmtId="0" fontId="0" fillId="0" borderId="0" xfId="0" applyAlignment="1" applyProtection="1">
      <alignment horizontal="right" indent="1"/>
    </xf>
    <xf numFmtId="0" fontId="0" fillId="0" borderId="0" xfId="0" applyFill="1" applyBorder="1" applyProtection="1"/>
    <xf numFmtId="0" fontId="19" fillId="0" borderId="0" xfId="0" applyFont="1" applyAlignment="1" applyProtection="1">
      <alignment horizontal="right" vertical="top" indent="1"/>
    </xf>
    <xf numFmtId="0" fontId="5" fillId="0" borderId="0" xfId="0" applyFont="1" applyAlignment="1" applyProtection="1">
      <alignment horizontal="right" vertical="center"/>
    </xf>
    <xf numFmtId="0" fontId="21" fillId="3" borderId="0" xfId="0" applyFont="1" applyFill="1" applyBorder="1" applyAlignment="1" applyProtection="1">
      <alignment horizontal="left" vertical="center"/>
    </xf>
    <xf numFmtId="0" fontId="0" fillId="0" borderId="0" xfId="0" applyAlignment="1" applyProtection="1">
      <alignment horizontal="right" vertical="center"/>
    </xf>
    <xf numFmtId="0" fontId="0" fillId="0" borderId="0" xfId="0" applyAlignment="1" applyProtection="1">
      <alignment horizontal="left" indent="1"/>
    </xf>
    <xf numFmtId="0" fontId="0" fillId="0" borderId="0" xfId="0" applyAlignment="1" applyProtection="1">
      <alignment vertical="center"/>
    </xf>
    <xf numFmtId="0" fontId="26" fillId="0" borderId="0" xfId="0" applyFont="1" applyAlignment="1" applyProtection="1">
      <alignment horizontal="left" vertical="center" indent="1"/>
    </xf>
    <xf numFmtId="0" fontId="7" fillId="0" borderId="0" xfId="0" applyFont="1" applyAlignment="1" applyProtection="1">
      <alignment horizontal="right" vertical="center" indent="12"/>
    </xf>
    <xf numFmtId="0" fontId="25" fillId="3" borderId="0" xfId="0" applyFont="1" applyFill="1" applyBorder="1" applyAlignment="1" applyProtection="1">
      <alignment horizontal="center" vertical="center"/>
    </xf>
    <xf numFmtId="0" fontId="7" fillId="0" borderId="0" xfId="0" applyFont="1" applyAlignment="1" applyProtection="1">
      <alignment horizontal="right" vertical="center" indent="1"/>
    </xf>
    <xf numFmtId="0" fontId="7" fillId="0" borderId="0" xfId="0" applyFont="1" applyAlignment="1" applyProtection="1">
      <alignment horizontal="right" vertical="center"/>
    </xf>
    <xf numFmtId="0" fontId="10" fillId="0" borderId="0" xfId="0" applyFont="1" applyAlignment="1" applyProtection="1">
      <alignment horizontal="center" vertical="center"/>
    </xf>
    <xf numFmtId="0" fontId="0" fillId="6" borderId="0" xfId="0" applyFill="1" applyBorder="1" applyAlignment="1" applyProtection="1">
      <alignment horizontal="center" vertical="center"/>
    </xf>
    <xf numFmtId="0" fontId="0" fillId="0" borderId="0" xfId="0" applyAlignment="1" applyProtection="1">
      <alignment horizontal="left" vertical="center" indent="1"/>
    </xf>
    <xf numFmtId="0" fontId="0" fillId="0" borderId="0" xfId="0" applyFill="1" applyAlignment="1" applyProtection="1">
      <alignment horizontal="left" vertical="center" indent="1"/>
    </xf>
    <xf numFmtId="0" fontId="0" fillId="0" borderId="0" xfId="0" applyAlignment="1" applyProtection="1">
      <alignment horizontal="right" vertical="center" indent="8"/>
    </xf>
    <xf numFmtId="0" fontId="0" fillId="0" borderId="0" xfId="0" applyFill="1" applyBorder="1" applyAlignment="1" applyProtection="1">
      <alignment horizontal="right" vertical="center" indent="8"/>
    </xf>
    <xf numFmtId="0" fontId="0" fillId="0" borderId="0" xfId="0" applyFill="1" applyBorder="1" applyAlignment="1" applyProtection="1">
      <alignment horizontal="center" vertical="center"/>
    </xf>
    <xf numFmtId="0" fontId="6" fillId="0" borderId="0" xfId="0" applyFont="1" applyAlignment="1" applyProtection="1">
      <alignment horizontal="right" indent="6"/>
    </xf>
    <xf numFmtId="0" fontId="0" fillId="0" borderId="0" xfId="0" applyAlignment="1" applyProtection="1">
      <alignment horizontal="center" vertical="center"/>
    </xf>
    <xf numFmtId="0" fontId="7" fillId="0" borderId="0" xfId="0" applyFont="1" applyAlignment="1" applyProtection="1">
      <alignment horizontal="right" indent="1"/>
    </xf>
    <xf numFmtId="0" fontId="8" fillId="0" borderId="0" xfId="0" applyFont="1" applyAlignment="1" applyProtection="1">
      <alignment horizontal="left" indent="1"/>
    </xf>
    <xf numFmtId="0" fontId="10" fillId="0" borderId="0" xfId="0" applyFont="1" applyFill="1" applyBorder="1" applyAlignment="1" applyProtection="1">
      <alignment horizontal="center" vertical="center"/>
    </xf>
    <xf numFmtId="0" fontId="8" fillId="0" borderId="0" xfId="0" applyFont="1" applyAlignment="1" applyProtection="1">
      <alignment horizontal="right" indent="1"/>
    </xf>
    <xf numFmtId="0" fontId="8" fillId="6" borderId="0" xfId="0" applyFont="1" applyFill="1" applyAlignment="1" applyProtection="1">
      <alignment horizontal="left" indent="1"/>
    </xf>
    <xf numFmtId="0" fontId="8" fillId="6" borderId="0" xfId="0" applyFont="1" applyFill="1" applyAlignment="1" applyProtection="1">
      <alignment horizontal="right" indent="1"/>
    </xf>
    <xf numFmtId="0" fontId="0" fillId="6" borderId="0" xfId="0" applyFill="1" applyProtection="1"/>
    <xf numFmtId="0" fontId="7" fillId="0" borderId="0" xfId="0" applyFont="1" applyAlignment="1" applyProtection="1">
      <alignment horizontal="left" vertical="center" indent="1"/>
    </xf>
    <xf numFmtId="0" fontId="0" fillId="0" borderId="0" xfId="0" applyFont="1" applyAlignment="1" applyProtection="1">
      <alignment horizontal="left" vertical="center" indent="1"/>
    </xf>
    <xf numFmtId="0" fontId="0" fillId="0" borderId="0" xfId="0" applyFont="1" applyProtection="1"/>
    <xf numFmtId="0" fontId="9" fillId="0" borderId="0" xfId="0" applyFont="1" applyAlignment="1" applyProtection="1">
      <alignment horizontal="left" vertical="center" indent="1"/>
    </xf>
    <xf numFmtId="0" fontId="0" fillId="0" borderId="0" xfId="0" quotePrefix="1" applyAlignment="1" applyProtection="1">
      <alignment horizontal="left" vertical="center" indent="1"/>
    </xf>
    <xf numFmtId="0" fontId="0" fillId="0" borderId="0" xfId="0" quotePrefix="1" applyAlignment="1" applyProtection="1">
      <alignment horizontal="right" vertical="center" indent="1"/>
    </xf>
    <xf numFmtId="0" fontId="0" fillId="0" borderId="0" xfId="0" applyAlignment="1" applyProtection="1">
      <alignment horizontal="right" vertical="center" indent="1"/>
    </xf>
    <xf numFmtId="0" fontId="2" fillId="0" borderId="0" xfId="0" applyFont="1" applyFill="1" applyBorder="1" applyAlignment="1" applyProtection="1">
      <alignment horizontal="left" vertical="center" wrapText="1"/>
    </xf>
    <xf numFmtId="15" fontId="2" fillId="0" borderId="0" xfId="0" applyNumberFormat="1" applyFont="1" applyFill="1" applyBorder="1" applyAlignment="1" applyProtection="1">
      <alignment horizontal="left" vertical="center" wrapText="1"/>
    </xf>
    <xf numFmtId="0" fontId="5" fillId="0" borderId="0" xfId="0" applyFont="1" applyAlignment="1" applyProtection="1">
      <alignment horizontal="right" indent="1"/>
    </xf>
    <xf numFmtId="0" fontId="5" fillId="0" borderId="0" xfId="0" applyFont="1" applyFill="1" applyAlignment="1" applyProtection="1">
      <alignment horizontal="right" indent="1"/>
    </xf>
    <xf numFmtId="0" fontId="0" fillId="0" borderId="0" xfId="0" applyFill="1" applyBorder="1" applyAlignment="1" applyProtection="1">
      <alignment vertical="center"/>
    </xf>
    <xf numFmtId="0" fontId="0" fillId="0" borderId="0" xfId="0" applyFont="1" applyFill="1" applyBorder="1" applyAlignment="1" applyProtection="1">
      <alignment horizontal="left" vertical="center" indent="1"/>
    </xf>
    <xf numFmtId="0" fontId="27" fillId="0" borderId="0" xfId="0" applyFont="1" applyAlignment="1" applyProtection="1">
      <alignment horizontal="left" vertical="center" indent="1"/>
    </xf>
    <xf numFmtId="0" fontId="0" fillId="0" borderId="0" xfId="0" applyFont="1" applyFill="1" applyBorder="1" applyProtection="1"/>
    <xf numFmtId="0" fontId="5" fillId="0" borderId="0" xfId="0" applyFont="1" applyAlignment="1" applyProtection="1">
      <alignment horizontal="center"/>
    </xf>
    <xf numFmtId="0" fontId="11" fillId="0" borderId="0" xfId="0" applyFont="1" applyAlignment="1" applyProtection="1">
      <alignment horizontal="right" indent="1"/>
    </xf>
    <xf numFmtId="0" fontId="15" fillId="0" borderId="0" xfId="0" applyFont="1" applyFill="1" applyBorder="1" applyAlignment="1" applyProtection="1">
      <alignment horizontal="left" vertical="center" indent="1"/>
    </xf>
    <xf numFmtId="0" fontId="15" fillId="0" borderId="0" xfId="0" applyFont="1" applyAlignment="1" applyProtection="1">
      <alignment horizontal="left" vertical="center" indent="1"/>
    </xf>
    <xf numFmtId="0" fontId="15" fillId="0" borderId="0" xfId="0" applyFont="1" applyFill="1" applyAlignment="1" applyProtection="1">
      <alignment horizontal="left" vertical="center" indent="1"/>
    </xf>
    <xf numFmtId="0" fontId="2" fillId="0" borderId="0" xfId="0" applyFont="1" applyFill="1" applyBorder="1" applyAlignment="1" applyProtection="1">
      <alignment horizontal="left" vertical="center" wrapText="1" indent="1"/>
    </xf>
    <xf numFmtId="0" fontId="11" fillId="0" borderId="0" xfId="0" applyFont="1" applyProtection="1"/>
    <xf numFmtId="0" fontId="0" fillId="0" borderId="0" xfId="0" applyFill="1" applyProtection="1"/>
    <xf numFmtId="0" fontId="12" fillId="0" borderId="0" xfId="1" applyFill="1" applyBorder="1" applyAlignment="1" applyProtection="1">
      <alignment horizontal="left" vertical="center" wrapText="1"/>
    </xf>
    <xf numFmtId="0" fontId="16" fillId="0" borderId="0" xfId="0" applyFont="1" applyAlignment="1" applyProtection="1">
      <alignment horizontal="right"/>
    </xf>
    <xf numFmtId="0" fontId="1" fillId="0" borderId="0" xfId="0" applyFont="1" applyAlignment="1" applyProtection="1">
      <alignment horizontal="left" vertical="center" indent="7"/>
    </xf>
    <xf numFmtId="0" fontId="0" fillId="2" borderId="0" xfId="0" applyFill="1" applyProtection="1"/>
    <xf numFmtId="0" fontId="1" fillId="2" borderId="0" xfId="0" applyFont="1" applyFill="1" applyAlignment="1" applyProtection="1">
      <alignment horizontal="left" vertical="center" indent="7"/>
    </xf>
    <xf numFmtId="0" fontId="0" fillId="2" borderId="0" xfId="0" applyFill="1" applyBorder="1" applyProtection="1"/>
    <xf numFmtId="0" fontId="13" fillId="3" borderId="0" xfId="0" applyFont="1" applyFill="1" applyAlignment="1" applyProtection="1">
      <alignment vertical="center"/>
    </xf>
    <xf numFmtId="0" fontId="20" fillId="0" borderId="0" xfId="0" applyFont="1" applyAlignment="1" applyProtection="1">
      <alignment vertical="center"/>
    </xf>
    <xf numFmtId="0" fontId="0" fillId="0" borderId="0" xfId="0" applyAlignment="1" applyProtection="1">
      <alignment horizontal="left" vertical="center"/>
    </xf>
    <xf numFmtId="0" fontId="13" fillId="0" borderId="0" xfId="0" quotePrefix="1" applyFont="1" applyFill="1" applyAlignment="1" applyProtection="1">
      <alignment vertical="center"/>
    </xf>
    <xf numFmtId="0" fontId="14" fillId="0" borderId="0" xfId="0" applyFont="1" applyAlignment="1" applyProtection="1">
      <alignment horizontal="left" vertical="center"/>
    </xf>
    <xf numFmtId="0" fontId="0" fillId="0" borderId="0" xfId="0" applyFont="1" applyAlignment="1" applyProtection="1">
      <alignment horizontal="left" vertical="center"/>
    </xf>
    <xf numFmtId="0" fontId="13" fillId="0" borderId="0" xfId="0" applyFont="1" applyFill="1" applyAlignment="1" applyProtection="1">
      <alignment horizontal="left" vertical="center"/>
    </xf>
    <xf numFmtId="49" fontId="6" fillId="0" borderId="0" xfId="0" applyNumberFormat="1" applyFont="1" applyFill="1" applyAlignment="1" applyProtection="1">
      <alignment vertical="center"/>
    </xf>
    <xf numFmtId="0" fontId="13" fillId="0" borderId="0" xfId="0" applyFont="1" applyFill="1" applyAlignment="1" applyProtection="1">
      <alignment vertical="center"/>
    </xf>
    <xf numFmtId="0" fontId="6" fillId="0" borderId="0" xfId="0" applyFont="1" applyAlignment="1" applyProtection="1">
      <alignment vertical="center"/>
    </xf>
    <xf numFmtId="0" fontId="6" fillId="0" borderId="0" xfId="0" applyFont="1" applyFill="1" applyAlignment="1" applyProtection="1">
      <alignment vertical="center"/>
    </xf>
    <xf numFmtId="0" fontId="0" fillId="0" borderId="0" xfId="0" applyFill="1" applyAlignment="1" applyProtection="1">
      <alignment horizontal="left" vertical="center"/>
    </xf>
    <xf numFmtId="0" fontId="6" fillId="0" borderId="0" xfId="0" applyFont="1" applyFill="1" applyAlignment="1" applyProtection="1">
      <alignment horizontal="left" vertical="center"/>
    </xf>
    <xf numFmtId="0" fontId="0" fillId="0" borderId="0" xfId="0" applyFill="1" applyAlignment="1" applyProtection="1">
      <alignment vertical="center"/>
    </xf>
    <xf numFmtId="0" fontId="0" fillId="0" borderId="0" xfId="0" applyFont="1" applyFill="1" applyAlignment="1" applyProtection="1">
      <alignment horizontal="left" vertical="center"/>
    </xf>
    <xf numFmtId="0" fontId="25" fillId="9" borderId="0" xfId="0" applyFont="1" applyFill="1" applyAlignment="1" applyProtection="1">
      <alignment horizontal="left" vertical="center"/>
    </xf>
    <xf numFmtId="0" fontId="0" fillId="4" borderId="0" xfId="0" applyFont="1" applyFill="1" applyAlignment="1" applyProtection="1">
      <alignment horizontal="left" vertical="center"/>
    </xf>
    <xf numFmtId="0" fontId="17" fillId="0" borderId="0" xfId="0" applyFont="1" applyProtection="1"/>
    <xf numFmtId="0" fontId="28" fillId="10" borderId="11" xfId="0" applyFont="1" applyFill="1" applyBorder="1" applyAlignment="1" applyProtection="1">
      <alignment horizontal="center" vertical="center"/>
      <protection locked="0"/>
    </xf>
    <xf numFmtId="0" fontId="29" fillId="0" borderId="0" xfId="0" applyFont="1" applyAlignment="1" applyProtection="1">
      <alignment horizontal="right" vertical="top" indent="1"/>
    </xf>
    <xf numFmtId="0" fontId="30" fillId="0" borderId="0" xfId="0" applyFont="1" applyAlignment="1" applyProtection="1">
      <alignment horizontal="right" indent="1"/>
    </xf>
    <xf numFmtId="0" fontId="30" fillId="0" borderId="0" xfId="0" applyFont="1" applyProtection="1"/>
    <xf numFmtId="0" fontId="29" fillId="0" borderId="0" xfId="0" applyFont="1" applyAlignment="1" applyProtection="1">
      <alignment horizontal="right" vertical="center" indent="1"/>
    </xf>
    <xf numFmtId="0" fontId="30" fillId="0" borderId="0" xfId="0" applyFont="1" applyAlignment="1" applyProtection="1">
      <alignment vertical="center"/>
    </xf>
    <xf numFmtId="0" fontId="29" fillId="0" borderId="0" xfId="0" applyFont="1" applyAlignment="1" applyProtection="1">
      <alignment horizontal="right" indent="1"/>
    </xf>
    <xf numFmtId="0" fontId="29" fillId="0" borderId="0" xfId="0" applyFont="1" applyFill="1" applyAlignment="1" applyProtection="1">
      <alignment horizontal="right" indent="1"/>
    </xf>
    <xf numFmtId="0" fontId="31" fillId="0" borderId="0" xfId="0" applyFont="1" applyAlignment="1" applyProtection="1">
      <alignment horizontal="right" indent="1"/>
    </xf>
    <xf numFmtId="0" fontId="31" fillId="0" borderId="0" xfId="0" applyFont="1" applyProtection="1"/>
    <xf numFmtId="0" fontId="32" fillId="0" borderId="0" xfId="0" applyFont="1" applyAlignment="1" applyProtection="1">
      <alignment horizontal="right" vertical="top" indent="1"/>
    </xf>
    <xf numFmtId="0" fontId="33" fillId="0" borderId="0" xfId="0" applyFont="1" applyAlignment="1" applyProtection="1">
      <alignment horizontal="right" indent="1"/>
    </xf>
    <xf numFmtId="0" fontId="33" fillId="0" borderId="0" xfId="0" applyFont="1" applyProtection="1"/>
    <xf numFmtId="0" fontId="32" fillId="0" borderId="0" xfId="0" applyFont="1" applyAlignment="1" applyProtection="1">
      <alignment horizontal="right" vertical="center" indent="1"/>
    </xf>
    <xf numFmtId="0" fontId="33" fillId="0" borderId="0" xfId="0" applyFont="1" applyAlignment="1" applyProtection="1">
      <alignment vertical="center"/>
    </xf>
    <xf numFmtId="0" fontId="32" fillId="0" borderId="0" xfId="0" applyFont="1" applyAlignment="1" applyProtection="1">
      <alignment horizontal="right" indent="1"/>
    </xf>
    <xf numFmtId="0" fontId="32" fillId="0" borderId="0" xfId="0" applyFont="1" applyFill="1" applyAlignment="1" applyProtection="1">
      <alignment horizontal="right" indent="1"/>
    </xf>
    <xf numFmtId="0" fontId="34" fillId="0" borderId="0" xfId="0" applyFont="1" applyAlignment="1" applyProtection="1">
      <alignment horizontal="right" indent="1"/>
    </xf>
    <xf numFmtId="0" fontId="34" fillId="0" borderId="0" xfId="0" applyFont="1" applyProtection="1"/>
    <xf numFmtId="0" fontId="35" fillId="0" borderId="0" xfId="0" applyFont="1" applyAlignment="1" applyProtection="1">
      <alignment horizontal="left" indent="7"/>
    </xf>
    <xf numFmtId="0" fontId="0" fillId="14" borderId="3" xfId="0" applyFill="1" applyBorder="1" applyAlignment="1" applyProtection="1">
      <alignment horizontal="center" vertical="center"/>
      <protection locked="0"/>
    </xf>
    <xf numFmtId="0" fontId="0" fillId="13" borderId="3" xfId="0" applyFill="1" applyBorder="1" applyAlignment="1" applyProtection="1">
      <alignment horizontal="center" vertical="center"/>
      <protection locked="0"/>
    </xf>
    <xf numFmtId="0" fontId="0" fillId="12" borderId="0" xfId="0" applyFill="1" applyBorder="1" applyAlignment="1" applyProtection="1">
      <alignment horizontal="center" vertical="center"/>
    </xf>
    <xf numFmtId="0" fontId="2" fillId="14" borderId="1" xfId="0" applyFont="1" applyFill="1" applyBorder="1" applyAlignment="1" applyProtection="1">
      <alignment horizontal="left" vertical="center" wrapText="1"/>
      <protection locked="0"/>
    </xf>
    <xf numFmtId="15" fontId="2" fillId="14" borderId="1" xfId="0" applyNumberFormat="1" applyFont="1" applyFill="1" applyBorder="1" applyAlignment="1" applyProtection="1">
      <alignment horizontal="left" vertical="center" wrapText="1"/>
      <protection locked="0"/>
    </xf>
    <xf numFmtId="0" fontId="29" fillId="0" borderId="0" xfId="0" applyFont="1" applyAlignment="1" applyProtection="1">
      <alignment horizontal="center"/>
    </xf>
    <xf numFmtId="0" fontId="15" fillId="14" borderId="2" xfId="0" applyFont="1" applyFill="1" applyBorder="1" applyAlignment="1" applyProtection="1">
      <alignment horizontal="left" vertical="center" indent="1"/>
      <protection locked="0"/>
    </xf>
    <xf numFmtId="0" fontId="2" fillId="14" borderId="1" xfId="0" applyFont="1" applyFill="1" applyBorder="1" applyAlignment="1" applyProtection="1">
      <alignment horizontal="left" vertical="center" wrapText="1" indent="1"/>
      <protection locked="0"/>
    </xf>
    <xf numFmtId="0" fontId="12" fillId="14" borderId="1" xfId="1" applyFill="1" applyBorder="1" applyAlignment="1" applyProtection="1">
      <alignment horizontal="left" vertical="center" wrapText="1"/>
      <protection locked="0"/>
    </xf>
    <xf numFmtId="0" fontId="0" fillId="3" borderId="12" xfId="0" applyFill="1" applyBorder="1" applyAlignment="1" applyProtection="1">
      <alignment horizontal="center" vertical="center"/>
      <protection locked="0"/>
    </xf>
    <xf numFmtId="0" fontId="32" fillId="0" borderId="0" xfId="0" applyFont="1" applyAlignment="1" applyProtection="1">
      <alignment horizontal="right"/>
    </xf>
    <xf numFmtId="0" fontId="36" fillId="3" borderId="0" xfId="0" applyFont="1" applyFill="1" applyAlignment="1" applyProtection="1">
      <alignment vertical="center"/>
    </xf>
    <xf numFmtId="0" fontId="37" fillId="0" borderId="0" xfId="0" applyFont="1" applyAlignment="1" applyProtection="1">
      <alignment vertical="center"/>
    </xf>
    <xf numFmtId="0" fontId="33" fillId="0" borderId="0" xfId="0" applyFont="1" applyAlignment="1" applyProtection="1">
      <alignment horizontal="left" vertical="center"/>
    </xf>
    <xf numFmtId="0" fontId="36" fillId="0" borderId="0" xfId="0" quotePrefix="1" applyFont="1" applyFill="1" applyAlignment="1" applyProtection="1">
      <alignment vertical="center"/>
    </xf>
    <xf numFmtId="0" fontId="38" fillId="0" borderId="0" xfId="0" applyFont="1" applyAlignment="1" applyProtection="1">
      <alignment horizontal="left" vertical="center"/>
    </xf>
    <xf numFmtId="0" fontId="36" fillId="0" borderId="0" xfId="0" applyFont="1" applyFill="1" applyAlignment="1" applyProtection="1">
      <alignment horizontal="left" vertical="center"/>
    </xf>
    <xf numFmtId="49" fontId="39" fillId="0" borderId="0" xfId="0" applyNumberFormat="1" applyFont="1" applyFill="1" applyAlignment="1" applyProtection="1">
      <alignment vertical="center"/>
    </xf>
    <xf numFmtId="0" fontId="36" fillId="0" borderId="0" xfId="0" applyFont="1" applyFill="1" applyAlignment="1" applyProtection="1">
      <alignment vertical="center"/>
    </xf>
    <xf numFmtId="0" fontId="39" fillId="0" borderId="0" xfId="0" applyFont="1" applyAlignment="1" applyProtection="1">
      <alignment vertical="center"/>
    </xf>
    <xf numFmtId="0" fontId="39" fillId="0" borderId="0" xfId="0" applyFont="1" applyFill="1" applyAlignment="1" applyProtection="1">
      <alignment vertical="center"/>
    </xf>
    <xf numFmtId="0" fontId="33" fillId="0" borderId="0" xfId="0" applyFont="1" applyFill="1" applyAlignment="1" applyProtection="1">
      <alignment horizontal="left" vertical="center"/>
    </xf>
    <xf numFmtId="0" fontId="39" fillId="0" borderId="0" xfId="0" applyFont="1" applyFill="1" applyAlignment="1" applyProtection="1">
      <alignment horizontal="left" vertical="center"/>
    </xf>
    <xf numFmtId="0" fontId="33" fillId="0" borderId="0" xfId="0" applyFont="1" applyFill="1" applyAlignment="1" applyProtection="1">
      <alignment vertical="center"/>
    </xf>
    <xf numFmtId="0" fontId="33" fillId="9" borderId="0" xfId="0" applyFont="1" applyFill="1" applyAlignment="1" applyProtection="1">
      <alignment horizontal="left" vertical="center"/>
    </xf>
    <xf numFmtId="0" fontId="33" fillId="4" borderId="0" xfId="0" applyFont="1" applyFill="1" applyAlignment="1" applyProtection="1">
      <alignment horizontal="left" vertical="center"/>
    </xf>
    <xf numFmtId="0" fontId="40" fillId="0" borderId="0" xfId="0" applyFont="1" applyProtection="1"/>
    <xf numFmtId="0" fontId="41" fillId="0" borderId="0" xfId="0" applyFont="1" applyAlignment="1" applyProtection="1">
      <alignment horizontal="left" indent="7"/>
    </xf>
    <xf numFmtId="0" fontId="32" fillId="0" borderId="0" xfId="0" applyFont="1" applyAlignment="1" applyProtection="1">
      <alignment horizontal="center"/>
    </xf>
    <xf numFmtId="0" fontId="0" fillId="15" borderId="3" xfId="0" applyFill="1" applyBorder="1" applyAlignment="1" applyProtection="1">
      <alignment horizontal="center" vertical="center"/>
      <protection locked="0"/>
    </xf>
    <xf numFmtId="0" fontId="2" fillId="15" borderId="1" xfId="0" applyFont="1" applyFill="1" applyBorder="1" applyAlignment="1" applyProtection="1">
      <alignment horizontal="left" vertical="center" wrapText="1"/>
      <protection locked="0"/>
    </xf>
    <xf numFmtId="15" fontId="2" fillId="15" borderId="1" xfId="0" applyNumberFormat="1" applyFont="1" applyFill="1" applyBorder="1" applyAlignment="1" applyProtection="1">
      <alignment horizontal="left" vertical="center" wrapText="1"/>
      <protection locked="0"/>
    </xf>
    <xf numFmtId="0" fontId="15" fillId="15" borderId="2" xfId="0" applyFont="1" applyFill="1" applyBorder="1" applyAlignment="1" applyProtection="1">
      <alignment horizontal="left" vertical="center" indent="1"/>
      <protection locked="0"/>
    </xf>
    <xf numFmtId="0" fontId="2" fillId="15" borderId="1" xfId="0" applyFont="1" applyFill="1" applyBorder="1" applyAlignment="1" applyProtection="1">
      <alignment horizontal="left" vertical="center" wrapText="1" indent="1"/>
      <protection locked="0"/>
    </xf>
    <xf numFmtId="0" fontId="12" fillId="15" borderId="1" xfId="1" applyFill="1" applyBorder="1" applyAlignment="1" applyProtection="1">
      <alignment horizontal="left" vertical="center" wrapText="1"/>
      <protection locked="0"/>
    </xf>
    <xf numFmtId="0" fontId="0" fillId="7" borderId="3" xfId="0" applyFill="1" applyBorder="1" applyAlignment="1" applyProtection="1">
      <alignment horizontal="center" vertical="center"/>
      <protection locked="0"/>
    </xf>
    <xf numFmtId="0" fontId="0" fillId="11" borderId="0" xfId="0" applyFill="1" applyBorder="1" applyAlignment="1" applyProtection="1">
      <alignment horizontal="center" vertical="center"/>
    </xf>
    <xf numFmtId="0" fontId="33" fillId="11" borderId="0" xfId="0" applyFont="1" applyFill="1" applyBorder="1" applyAlignment="1" applyProtection="1">
      <alignment horizontal="center" vertical="center"/>
    </xf>
    <xf numFmtId="0" fontId="25" fillId="10" borderId="0" xfId="0" applyFont="1" applyFill="1" applyAlignment="1" applyProtection="1">
      <alignment horizontal="left" vertical="center"/>
    </xf>
    <xf numFmtId="0" fontId="25" fillId="10" borderId="0" xfId="0" applyFont="1" applyFill="1" applyProtection="1"/>
    <xf numFmtId="0" fontId="42" fillId="0" borderId="0" xfId="0" applyFont="1" applyAlignment="1" applyProtection="1">
      <alignment horizontal="center" vertical="center"/>
    </xf>
    <xf numFmtId="0" fontId="28" fillId="10" borderId="11" xfId="0" applyFont="1" applyFill="1" applyBorder="1" applyAlignment="1" applyProtection="1">
      <alignment horizontal="center" vertical="center"/>
    </xf>
    <xf numFmtId="0" fontId="0" fillId="0" borderId="0" xfId="0" applyBorder="1" applyProtection="1"/>
    <xf numFmtId="0" fontId="0" fillId="0" borderId="0" xfId="0" applyAlignment="1">
      <alignment horizontal="center"/>
    </xf>
    <xf numFmtId="0" fontId="0" fillId="0" borderId="0" xfId="0" applyAlignment="1">
      <alignment horizontal="center" vertical="center"/>
    </xf>
    <xf numFmtId="0" fontId="15" fillId="0" borderId="0" xfId="0" applyFont="1" applyAlignment="1">
      <alignment horizontal="center"/>
    </xf>
    <xf numFmtId="0" fontId="45" fillId="0" borderId="0" xfId="0" applyFont="1" applyAlignment="1">
      <alignment horizontal="center" vertical="center"/>
    </xf>
    <xf numFmtId="0" fontId="46" fillId="16" borderId="0" xfId="0" applyFont="1" applyFill="1" applyAlignment="1">
      <alignment horizontal="center"/>
    </xf>
    <xf numFmtId="0" fontId="0" fillId="16" borderId="0" xfId="0" applyFill="1"/>
    <xf numFmtId="0" fontId="43" fillId="16" borderId="0" xfId="0" applyFont="1" applyFill="1"/>
    <xf numFmtId="0" fontId="46" fillId="16" borderId="0" xfId="0" applyFont="1" applyFill="1"/>
    <xf numFmtId="0" fontId="27" fillId="16" borderId="0" xfId="0" applyFont="1" applyFill="1"/>
    <xf numFmtId="0" fontId="47" fillId="0" borderId="0" xfId="0" applyFont="1"/>
    <xf numFmtId="0" fontId="44" fillId="17" borderId="0" xfId="0" applyFont="1" applyFill="1"/>
    <xf numFmtId="0" fontId="44" fillId="10" borderId="0" xfId="0" applyFont="1" applyFill="1"/>
    <xf numFmtId="0" fontId="48" fillId="3" borderId="0" xfId="0" applyFont="1" applyFill="1" applyAlignment="1" applyProtection="1">
      <alignment vertical="center"/>
    </xf>
    <xf numFmtId="0" fontId="15" fillId="16" borderId="0" xfId="0" applyFont="1" applyFill="1" applyAlignment="1" applyProtection="1">
      <alignment horizontal="center" textRotation="90"/>
    </xf>
    <xf numFmtId="0" fontId="29" fillId="0" borderId="0" xfId="0" applyFont="1" applyFill="1" applyAlignment="1" applyProtection="1">
      <alignment horizontal="center"/>
    </xf>
    <xf numFmtId="0" fontId="2" fillId="0" borderId="0" xfId="0" applyFont="1" applyFill="1" applyBorder="1" applyAlignment="1" applyProtection="1">
      <alignment horizontal="center" vertical="center" wrapText="1"/>
      <protection locked="0"/>
    </xf>
    <xf numFmtId="0" fontId="45" fillId="0" borderId="0" xfId="0" applyFont="1" applyAlignment="1">
      <alignment horizontal="center"/>
    </xf>
    <xf numFmtId="0" fontId="15" fillId="0" borderId="0" xfId="0" applyFont="1" applyAlignment="1">
      <alignment horizontal="center" vertical="center"/>
    </xf>
    <xf numFmtId="0" fontId="45" fillId="0" borderId="0" xfId="0" applyFont="1" applyFill="1" applyAlignment="1">
      <alignment horizontal="center" vertical="center"/>
    </xf>
    <xf numFmtId="0" fontId="45" fillId="0" borderId="0" xfId="0" applyFont="1" applyFill="1" applyAlignment="1">
      <alignment horizontal="center"/>
    </xf>
    <xf numFmtId="0" fontId="15" fillId="2" borderId="0" xfId="0" applyFont="1" applyFill="1" applyAlignment="1">
      <alignment horizontal="center" vertical="center"/>
    </xf>
    <xf numFmtId="0" fontId="45" fillId="2" borderId="0" xfId="0" applyFont="1" applyFill="1" applyAlignment="1">
      <alignment horizontal="center" vertical="center"/>
    </xf>
    <xf numFmtId="0" fontId="0" fillId="2" borderId="0" xfId="0" applyFill="1"/>
    <xf numFmtId="0" fontId="22" fillId="12" borderId="0" xfId="0" applyFont="1" applyFill="1" applyBorder="1" applyAlignment="1" applyProtection="1">
      <alignment horizontal="center" vertical="center"/>
      <protection locked="0"/>
    </xf>
    <xf numFmtId="0" fontId="2" fillId="0" borderId="0" xfId="0" applyFont="1" applyFill="1" applyBorder="1" applyAlignment="1" applyProtection="1">
      <alignment horizontal="center" vertical="center" wrapText="1"/>
    </xf>
    <xf numFmtId="0" fontId="15" fillId="8" borderId="0" xfId="0" applyFont="1" applyFill="1" applyAlignment="1" applyProtection="1">
      <alignment horizontal="center" textRotation="90"/>
    </xf>
    <xf numFmtId="0" fontId="51" fillId="0" borderId="0" xfId="0" applyFont="1"/>
    <xf numFmtId="0" fontId="15" fillId="0" borderId="0" xfId="0" applyFont="1" applyFill="1" applyAlignment="1" applyProtection="1">
      <alignment horizontal="center" textRotation="90"/>
    </xf>
    <xf numFmtId="0" fontId="29" fillId="0" borderId="0" xfId="0" applyFont="1" applyAlignment="1" applyProtection="1">
      <alignment horizontal="right" vertical="center"/>
    </xf>
    <xf numFmtId="0" fontId="35" fillId="0" borderId="0" xfId="0" applyFont="1" applyAlignment="1" applyProtection="1">
      <alignment horizontal="left"/>
    </xf>
    <xf numFmtId="1" fontId="2" fillId="14" borderId="1" xfId="0" applyNumberFormat="1" applyFont="1" applyFill="1" applyBorder="1" applyAlignment="1" applyProtection="1">
      <alignment horizontal="left" vertical="center" wrapText="1"/>
      <protection locked="0"/>
    </xf>
    <xf numFmtId="0" fontId="1" fillId="0" borderId="0" xfId="0" applyFont="1" applyAlignment="1" applyProtection="1">
      <alignment horizontal="center" vertical="center"/>
    </xf>
    <xf numFmtId="0" fontId="2" fillId="4" borderId="5" xfId="0" applyFont="1" applyFill="1" applyBorder="1" applyAlignment="1" applyProtection="1">
      <alignment horizontal="center" vertical="center" wrapText="1"/>
      <protection locked="0"/>
    </xf>
    <xf numFmtId="0" fontId="2" fillId="4" borderId="6" xfId="0" applyFont="1" applyFill="1" applyBorder="1" applyAlignment="1" applyProtection="1">
      <alignment horizontal="center" vertical="center" wrapText="1"/>
      <protection locked="0"/>
    </xf>
    <xf numFmtId="0" fontId="2" fillId="4" borderId="7" xfId="0" applyFont="1" applyFill="1" applyBorder="1" applyAlignment="1" applyProtection="1">
      <alignment horizontal="center" vertical="center" wrapText="1"/>
      <protection locked="0"/>
    </xf>
    <xf numFmtId="0" fontId="24" fillId="5" borderId="4" xfId="0" applyFont="1" applyFill="1" applyBorder="1" applyAlignment="1" applyProtection="1">
      <alignment horizontal="left" vertical="center" wrapText="1"/>
      <protection locked="0"/>
    </xf>
    <xf numFmtId="0" fontId="24" fillId="5" borderId="0" xfId="0" applyFont="1" applyFill="1" applyBorder="1" applyAlignment="1" applyProtection="1">
      <alignment horizontal="left" vertical="center" wrapText="1"/>
      <protection locked="0"/>
    </xf>
    <xf numFmtId="0" fontId="2" fillId="14" borderId="5" xfId="0" applyFont="1" applyFill="1" applyBorder="1" applyAlignment="1" applyProtection="1">
      <alignment horizontal="center" vertical="center" wrapText="1"/>
      <protection locked="0"/>
    </xf>
    <xf numFmtId="0" fontId="2" fillId="14" borderId="6" xfId="0" applyFont="1" applyFill="1" applyBorder="1" applyAlignment="1" applyProtection="1">
      <alignment horizontal="center" vertical="center" wrapText="1"/>
      <protection locked="0"/>
    </xf>
    <xf numFmtId="0" fontId="2" fillId="14" borderId="7" xfId="0" applyFont="1" applyFill="1" applyBorder="1" applyAlignment="1" applyProtection="1">
      <alignment horizontal="center" vertical="center" wrapText="1"/>
      <protection locked="0"/>
    </xf>
    <xf numFmtId="0" fontId="18" fillId="0" borderId="0" xfId="0" applyFont="1" applyAlignment="1" applyProtection="1">
      <alignment horizontal="center" vertical="center" wrapText="1"/>
    </xf>
    <xf numFmtId="0" fontId="0" fillId="2" borderId="8" xfId="0" applyFill="1" applyBorder="1" applyAlignment="1" applyProtection="1">
      <alignment horizontal="left" vertical="center"/>
      <protection locked="0"/>
    </xf>
    <xf numFmtId="0" fontId="0" fillId="2" borderId="9" xfId="0" applyFill="1" applyBorder="1" applyAlignment="1" applyProtection="1">
      <alignment horizontal="left" vertical="center"/>
      <protection locked="0"/>
    </xf>
    <xf numFmtId="0" fontId="0" fillId="2" borderId="10" xfId="0" applyFill="1" applyBorder="1" applyAlignment="1" applyProtection="1">
      <alignment horizontal="left" vertical="center"/>
      <protection locked="0"/>
    </xf>
    <xf numFmtId="0" fontId="23" fillId="3" borderId="0" xfId="0" applyFont="1" applyFill="1" applyBorder="1" applyAlignment="1" applyProtection="1">
      <alignment horizontal="center" vertical="center" wrapText="1"/>
    </xf>
    <xf numFmtId="0" fontId="2" fillId="15" borderId="5" xfId="0" applyFont="1" applyFill="1" applyBorder="1" applyAlignment="1" applyProtection="1">
      <alignment horizontal="center" vertical="center" wrapText="1"/>
      <protection locked="0"/>
    </xf>
    <xf numFmtId="0" fontId="2" fillId="15" borderId="6" xfId="0" applyFont="1" applyFill="1" applyBorder="1" applyAlignment="1" applyProtection="1">
      <alignment horizontal="center" vertical="center" wrapText="1"/>
      <protection locked="0"/>
    </xf>
    <xf numFmtId="0" fontId="2" fillId="15" borderId="7" xfId="0" applyFont="1" applyFill="1" applyBorder="1" applyAlignment="1" applyProtection="1">
      <alignment horizontal="center" vertical="center" wrapText="1"/>
      <protection locked="0"/>
    </xf>
    <xf numFmtId="0" fontId="35" fillId="0" borderId="0" xfId="0" applyFont="1" applyAlignment="1" applyProtection="1">
      <alignment horizontal="center" vertical="center"/>
    </xf>
    <xf numFmtId="0" fontId="49" fillId="18" borderId="0" xfId="0" applyFont="1" applyFill="1" applyBorder="1" applyAlignment="1" applyProtection="1">
      <alignment horizontal="center" vertical="center" wrapText="1"/>
      <protection locked="0"/>
    </xf>
    <xf numFmtId="0" fontId="2" fillId="2" borderId="5" xfId="0" applyFont="1" applyFill="1" applyBorder="1" applyAlignment="1" applyProtection="1">
      <alignment horizontal="center" vertical="center" wrapText="1"/>
      <protection locked="0"/>
    </xf>
    <xf numFmtId="0" fontId="2" fillId="2" borderId="6" xfId="0" applyFont="1" applyFill="1" applyBorder="1" applyAlignment="1" applyProtection="1">
      <alignment horizontal="center" vertical="center" wrapText="1"/>
      <protection locked="0"/>
    </xf>
    <xf numFmtId="0" fontId="2" fillId="2" borderId="7" xfId="0" applyFont="1" applyFill="1" applyBorder="1" applyAlignment="1" applyProtection="1">
      <alignment horizontal="center" vertical="center" wrapText="1"/>
      <protection locked="0"/>
    </xf>
    <xf numFmtId="0" fontId="15" fillId="2" borderId="8" xfId="0" applyFont="1" applyFill="1" applyBorder="1" applyAlignment="1" applyProtection="1">
      <alignment horizontal="left" vertical="center"/>
      <protection locked="0"/>
    </xf>
    <xf numFmtId="0" fontId="15" fillId="2" borderId="9" xfId="0" applyFont="1" applyFill="1" applyBorder="1" applyAlignment="1" applyProtection="1">
      <alignment horizontal="left" vertical="center"/>
      <protection locked="0"/>
    </xf>
    <xf numFmtId="0" fontId="15" fillId="2" borderId="10" xfId="0" applyFont="1" applyFill="1" applyBorder="1" applyAlignment="1" applyProtection="1">
      <alignment horizontal="left" vertical="center"/>
      <protection locked="0"/>
    </xf>
  </cellXfs>
  <cellStyles count="2">
    <cellStyle name="Hyperlink" xfId="1" builtinId="8"/>
    <cellStyle name="Normal" xfId="0" builtinId="0"/>
  </cellStyles>
  <dxfs count="20">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190500</xdr:colOff>
      <xdr:row>1</xdr:row>
      <xdr:rowOff>0</xdr:rowOff>
    </xdr:from>
    <xdr:to>
      <xdr:col>1</xdr:col>
      <xdr:colOff>274320</xdr:colOff>
      <xdr:row>1</xdr:row>
      <xdr:rowOff>297180</xdr:rowOff>
    </xdr:to>
    <xdr:pic>
      <xdr:nvPicPr>
        <xdr:cNvPr id="2" name="Picture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84024"/>
        <a:stretch/>
      </xdr:blipFill>
      <xdr:spPr>
        <a:xfrm>
          <a:off x="190500" y="76200"/>
          <a:ext cx="411480" cy="297180"/>
        </a:xfrm>
        <a:prstGeom prst="rect">
          <a:avLst/>
        </a:prstGeom>
      </xdr:spPr>
    </xdr:pic>
    <xdr:clientData/>
  </xdr:twoCellAnchor>
  <xdr:twoCellAnchor editAs="oneCell">
    <xdr:from>
      <xdr:col>2</xdr:col>
      <xdr:colOff>114300</xdr:colOff>
      <xdr:row>16</xdr:row>
      <xdr:rowOff>68580</xdr:rowOff>
    </xdr:from>
    <xdr:to>
      <xdr:col>2</xdr:col>
      <xdr:colOff>293663</xdr:colOff>
      <xdr:row>16</xdr:row>
      <xdr:rowOff>231140</xdr:rowOff>
    </xdr:to>
    <xdr:pic>
      <xdr:nvPicPr>
        <xdr:cNvPr id="5" name="Picture 4"/>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103120" y="616458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xdr:from>
      <xdr:col>3</xdr:col>
      <xdr:colOff>6697980</xdr:colOff>
      <xdr:row>38</xdr:row>
      <xdr:rowOff>38100</xdr:rowOff>
    </xdr:from>
    <xdr:to>
      <xdr:col>3</xdr:col>
      <xdr:colOff>6896418</xdr:colOff>
      <xdr:row>39</xdr:row>
      <xdr:rowOff>100012</xdr:rowOff>
    </xdr:to>
    <xdr:pic>
      <xdr:nvPicPr>
        <xdr:cNvPr id="6" name="Picture 5" descr="intercontinental_hotels___resorts___3d_icon___jpg_formatintercontinental_hotels___resorts___3d_icon___jpg_format_da_1389334_6"/>
        <xdr:cNvPicPr>
          <a:picLocks noChangeAspect="1" noChangeArrowheads="1"/>
        </xdr:cNvPicPr>
      </xdr:nvPicPr>
      <xdr:blipFill>
        <a:blip xmlns:r="http://schemas.openxmlformats.org/officeDocument/2006/relationships" r:embed="rId3" cstate="print"/>
        <a:srcRect l="24408" t="20360" r="24777" b="20061"/>
        <a:stretch>
          <a:fillRect/>
        </a:stretch>
      </xdr:blipFill>
      <xdr:spPr bwMode="auto">
        <a:xfrm>
          <a:off x="4770120" y="9075420"/>
          <a:ext cx="318" cy="214312"/>
        </a:xfrm>
        <a:prstGeom prst="rect">
          <a:avLst/>
        </a:prstGeom>
        <a:noFill/>
        <a:ln w="9525">
          <a:noFill/>
          <a:miter lim="800000"/>
          <a:headEnd/>
          <a:tailEnd/>
        </a:ln>
      </xdr:spPr>
    </xdr:pic>
    <xdr:clientData/>
  </xdr:twoCellAnchor>
  <xdr:twoCellAnchor>
    <xdr:from>
      <xdr:col>3</xdr:col>
      <xdr:colOff>6606540</xdr:colOff>
      <xdr:row>42</xdr:row>
      <xdr:rowOff>38100</xdr:rowOff>
    </xdr:from>
    <xdr:to>
      <xdr:col>3</xdr:col>
      <xdr:colOff>7038340</xdr:colOff>
      <xdr:row>43</xdr:row>
      <xdr:rowOff>131762</xdr:rowOff>
    </xdr:to>
    <xdr:pic>
      <xdr:nvPicPr>
        <xdr:cNvPr id="7" name="Picture 6" descr="holiday_inn_core_logo___jpg_formatholiday_inn_core_logo___jpg_format_da_1632229_6"/>
        <xdr:cNvPicPr>
          <a:picLocks noChangeAspect="1" noChangeArrowheads="1"/>
        </xdr:cNvPicPr>
      </xdr:nvPicPr>
      <xdr:blipFill>
        <a:blip xmlns:r="http://schemas.openxmlformats.org/officeDocument/2006/relationships" r:embed="rId4" cstate="print"/>
        <a:srcRect/>
        <a:stretch>
          <a:fillRect/>
        </a:stretch>
      </xdr:blipFill>
      <xdr:spPr bwMode="auto">
        <a:xfrm>
          <a:off x="4770120" y="9578340"/>
          <a:ext cx="0" cy="215582"/>
        </a:xfrm>
        <a:prstGeom prst="rect">
          <a:avLst/>
        </a:prstGeom>
        <a:noFill/>
        <a:ln w="9525">
          <a:noFill/>
          <a:miter lim="800000"/>
          <a:headEnd/>
          <a:tailEnd/>
        </a:ln>
      </xdr:spPr>
    </xdr:pic>
    <xdr:clientData/>
  </xdr:twoCellAnchor>
  <xdr:twoCellAnchor>
    <xdr:from>
      <xdr:col>3</xdr:col>
      <xdr:colOff>6629400</xdr:colOff>
      <xdr:row>44</xdr:row>
      <xdr:rowOff>91440</xdr:rowOff>
    </xdr:from>
    <xdr:to>
      <xdr:col>3</xdr:col>
      <xdr:colOff>7042150</xdr:colOff>
      <xdr:row>45</xdr:row>
      <xdr:rowOff>86995</xdr:rowOff>
    </xdr:to>
    <xdr:pic>
      <xdr:nvPicPr>
        <xdr:cNvPr id="8" name="Picture 7" descr="new_hie_4_colour_cmyk_r_ainew_hie_4_colour_cmyk_r_ai_da_1623039_6"/>
        <xdr:cNvPicPr>
          <a:picLocks noChangeAspect="1" noChangeArrowheads="1"/>
        </xdr:cNvPicPr>
      </xdr:nvPicPr>
      <xdr:blipFill>
        <a:blip xmlns:r="http://schemas.openxmlformats.org/officeDocument/2006/relationships" r:embed="rId5" cstate="print"/>
        <a:srcRect t="23204" b="24551"/>
        <a:stretch>
          <a:fillRect/>
        </a:stretch>
      </xdr:blipFill>
      <xdr:spPr bwMode="auto">
        <a:xfrm>
          <a:off x="4770120" y="9883140"/>
          <a:ext cx="1270" cy="163195"/>
        </a:xfrm>
        <a:prstGeom prst="rect">
          <a:avLst/>
        </a:prstGeom>
        <a:noFill/>
        <a:ln w="9525">
          <a:noFill/>
          <a:miter lim="800000"/>
          <a:headEnd/>
          <a:tailEnd/>
        </a:ln>
      </xdr:spPr>
    </xdr:pic>
    <xdr:clientData/>
  </xdr:twoCellAnchor>
  <xdr:twoCellAnchor editAs="oneCell">
    <xdr:from>
      <xdr:col>1</xdr:col>
      <xdr:colOff>1592580</xdr:colOff>
      <xdr:row>3</xdr:row>
      <xdr:rowOff>0</xdr:rowOff>
    </xdr:from>
    <xdr:to>
      <xdr:col>2</xdr:col>
      <xdr:colOff>99061</xdr:colOff>
      <xdr:row>3</xdr:row>
      <xdr:rowOff>211016</xdr:rowOff>
    </xdr:to>
    <xdr:pic>
      <xdr:nvPicPr>
        <xdr:cNvPr id="10" name="Picture 9"/>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9199" t="60564" r="69151" b="35743"/>
        <a:stretch/>
      </xdr:blipFill>
      <xdr:spPr bwMode="auto">
        <a:xfrm>
          <a:off x="1920240" y="571500"/>
          <a:ext cx="167641" cy="21101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xdr:col>
      <xdr:colOff>1592580</xdr:colOff>
      <xdr:row>16</xdr:row>
      <xdr:rowOff>60960</xdr:rowOff>
    </xdr:from>
    <xdr:to>
      <xdr:col>2</xdr:col>
      <xdr:colOff>99061</xdr:colOff>
      <xdr:row>16</xdr:row>
      <xdr:rowOff>271976</xdr:rowOff>
    </xdr:to>
    <xdr:pic>
      <xdr:nvPicPr>
        <xdr:cNvPr id="12" name="Picture 11"/>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9199" t="60564" r="69151" b="35743"/>
        <a:stretch/>
      </xdr:blipFill>
      <xdr:spPr bwMode="auto">
        <a:xfrm>
          <a:off x="1920240" y="6156960"/>
          <a:ext cx="167641" cy="21101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xdr:col>
      <xdr:colOff>1554480</xdr:colOff>
      <xdr:row>30</xdr:row>
      <xdr:rowOff>7620</xdr:rowOff>
    </xdr:from>
    <xdr:to>
      <xdr:col>2</xdr:col>
      <xdr:colOff>60961</xdr:colOff>
      <xdr:row>31</xdr:row>
      <xdr:rowOff>35756</xdr:rowOff>
    </xdr:to>
    <xdr:pic>
      <xdr:nvPicPr>
        <xdr:cNvPr id="13" name="Picture 12"/>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9199" t="60564" r="69151" b="35743"/>
        <a:stretch/>
      </xdr:blipFill>
      <xdr:spPr bwMode="auto">
        <a:xfrm>
          <a:off x="1882140" y="8061960"/>
          <a:ext cx="167641" cy="21101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xdr:col>
      <xdr:colOff>1554480</xdr:colOff>
      <xdr:row>32</xdr:row>
      <xdr:rowOff>0</xdr:rowOff>
    </xdr:from>
    <xdr:to>
      <xdr:col>2</xdr:col>
      <xdr:colOff>60961</xdr:colOff>
      <xdr:row>33</xdr:row>
      <xdr:rowOff>28136</xdr:rowOff>
    </xdr:to>
    <xdr:pic>
      <xdr:nvPicPr>
        <xdr:cNvPr id="14" name="Picture 13"/>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9199" t="60564" r="69151" b="35743"/>
        <a:stretch/>
      </xdr:blipFill>
      <xdr:spPr bwMode="auto">
        <a:xfrm>
          <a:off x="1882140" y="8420100"/>
          <a:ext cx="167641" cy="21101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xdr:col>
      <xdr:colOff>1592580</xdr:colOff>
      <xdr:row>53</xdr:row>
      <xdr:rowOff>0</xdr:rowOff>
    </xdr:from>
    <xdr:to>
      <xdr:col>2</xdr:col>
      <xdr:colOff>99061</xdr:colOff>
      <xdr:row>54</xdr:row>
      <xdr:rowOff>28136</xdr:rowOff>
    </xdr:to>
    <xdr:pic>
      <xdr:nvPicPr>
        <xdr:cNvPr id="15" name="Picture 14"/>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9199" t="60564" r="69151" b="35743"/>
        <a:stretch/>
      </xdr:blipFill>
      <xdr:spPr bwMode="auto">
        <a:xfrm>
          <a:off x="1920240" y="10980420"/>
          <a:ext cx="167641" cy="21101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xdr:col>
      <xdr:colOff>1600200</xdr:colOff>
      <xdr:row>153</xdr:row>
      <xdr:rowOff>15240</xdr:rowOff>
    </xdr:from>
    <xdr:to>
      <xdr:col>2</xdr:col>
      <xdr:colOff>106681</xdr:colOff>
      <xdr:row>154</xdr:row>
      <xdr:rowOff>43376</xdr:rowOff>
    </xdr:to>
    <xdr:pic>
      <xdr:nvPicPr>
        <xdr:cNvPr id="16" name="Picture 15"/>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9199" t="60564" r="69151" b="35743"/>
        <a:stretch/>
      </xdr:blipFill>
      <xdr:spPr bwMode="auto">
        <a:xfrm>
          <a:off x="1927860" y="22456140"/>
          <a:ext cx="167641" cy="21101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xdr:col>
      <xdr:colOff>1600200</xdr:colOff>
      <xdr:row>155</xdr:row>
      <xdr:rowOff>15240</xdr:rowOff>
    </xdr:from>
    <xdr:to>
      <xdr:col>2</xdr:col>
      <xdr:colOff>106681</xdr:colOff>
      <xdr:row>156</xdr:row>
      <xdr:rowOff>43376</xdr:rowOff>
    </xdr:to>
    <xdr:pic>
      <xdr:nvPicPr>
        <xdr:cNvPr id="17" name="Picture 16"/>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9199" t="60564" r="69151" b="35743"/>
        <a:stretch/>
      </xdr:blipFill>
      <xdr:spPr bwMode="auto">
        <a:xfrm>
          <a:off x="1927860" y="22821900"/>
          <a:ext cx="167641" cy="21101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xdr:col>
      <xdr:colOff>1600200</xdr:colOff>
      <xdr:row>157</xdr:row>
      <xdr:rowOff>15240</xdr:rowOff>
    </xdr:from>
    <xdr:to>
      <xdr:col>2</xdr:col>
      <xdr:colOff>106681</xdr:colOff>
      <xdr:row>158</xdr:row>
      <xdr:rowOff>43376</xdr:rowOff>
    </xdr:to>
    <xdr:pic>
      <xdr:nvPicPr>
        <xdr:cNvPr id="18" name="Picture 17"/>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9199" t="60564" r="69151" b="35743"/>
        <a:stretch/>
      </xdr:blipFill>
      <xdr:spPr bwMode="auto">
        <a:xfrm>
          <a:off x="1927860" y="23187660"/>
          <a:ext cx="167641" cy="21101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xdr:col>
      <xdr:colOff>1607820</xdr:colOff>
      <xdr:row>171</xdr:row>
      <xdr:rowOff>30480</xdr:rowOff>
    </xdr:from>
    <xdr:to>
      <xdr:col>2</xdr:col>
      <xdr:colOff>114301</xdr:colOff>
      <xdr:row>172</xdr:row>
      <xdr:rowOff>58616</xdr:rowOff>
    </xdr:to>
    <xdr:pic>
      <xdr:nvPicPr>
        <xdr:cNvPr id="20" name="Picture 19"/>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9199" t="60564" r="69151" b="35743"/>
        <a:stretch/>
      </xdr:blipFill>
      <xdr:spPr bwMode="auto">
        <a:xfrm>
          <a:off x="1935480" y="25397460"/>
          <a:ext cx="167641" cy="21101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xdr:col>
      <xdr:colOff>1607820</xdr:colOff>
      <xdr:row>209</xdr:row>
      <xdr:rowOff>30480</xdr:rowOff>
    </xdr:from>
    <xdr:to>
      <xdr:col>2</xdr:col>
      <xdr:colOff>114301</xdr:colOff>
      <xdr:row>210</xdr:row>
      <xdr:rowOff>58616</xdr:rowOff>
    </xdr:to>
    <xdr:pic>
      <xdr:nvPicPr>
        <xdr:cNvPr id="21" name="Picture 20"/>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9199" t="60564" r="69151" b="35743"/>
        <a:stretch/>
      </xdr:blipFill>
      <xdr:spPr bwMode="auto">
        <a:xfrm>
          <a:off x="1935480" y="30152340"/>
          <a:ext cx="167641" cy="21101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xdr:col>
      <xdr:colOff>15240</xdr:colOff>
      <xdr:row>275</xdr:row>
      <xdr:rowOff>7620</xdr:rowOff>
    </xdr:from>
    <xdr:to>
      <xdr:col>2</xdr:col>
      <xdr:colOff>182881</xdr:colOff>
      <xdr:row>276</xdr:row>
      <xdr:rowOff>35756</xdr:rowOff>
    </xdr:to>
    <xdr:pic>
      <xdr:nvPicPr>
        <xdr:cNvPr id="22" name="Picture 21"/>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9199" t="60564" r="69151" b="35743"/>
        <a:stretch/>
      </xdr:blipFill>
      <xdr:spPr bwMode="auto">
        <a:xfrm>
          <a:off x="2004060" y="37932360"/>
          <a:ext cx="167641" cy="21101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xdr:col>
      <xdr:colOff>1638300</xdr:colOff>
      <xdr:row>285</xdr:row>
      <xdr:rowOff>15240</xdr:rowOff>
    </xdr:from>
    <xdr:to>
      <xdr:col>2</xdr:col>
      <xdr:colOff>144781</xdr:colOff>
      <xdr:row>286</xdr:row>
      <xdr:rowOff>43376</xdr:rowOff>
    </xdr:to>
    <xdr:pic>
      <xdr:nvPicPr>
        <xdr:cNvPr id="23" name="Picture 22"/>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9199" t="60564" r="69151" b="35743"/>
        <a:stretch/>
      </xdr:blipFill>
      <xdr:spPr bwMode="auto">
        <a:xfrm>
          <a:off x="1965960" y="39037260"/>
          <a:ext cx="167641" cy="21101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xdr:col>
      <xdr:colOff>99060</xdr:colOff>
      <xdr:row>30</xdr:row>
      <xdr:rowOff>7620</xdr:rowOff>
    </xdr:from>
    <xdr:to>
      <xdr:col>2</xdr:col>
      <xdr:colOff>278423</xdr:colOff>
      <xdr:row>30</xdr:row>
      <xdr:rowOff>170180</xdr:rowOff>
    </xdr:to>
    <xdr:pic>
      <xdr:nvPicPr>
        <xdr:cNvPr id="24" name="Picture 23"/>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087880" y="806196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xdr:col>
      <xdr:colOff>114300</xdr:colOff>
      <xdr:row>153</xdr:row>
      <xdr:rowOff>15240</xdr:rowOff>
    </xdr:from>
    <xdr:to>
      <xdr:col>2</xdr:col>
      <xdr:colOff>293663</xdr:colOff>
      <xdr:row>153</xdr:row>
      <xdr:rowOff>177800</xdr:rowOff>
    </xdr:to>
    <xdr:pic>
      <xdr:nvPicPr>
        <xdr:cNvPr id="25" name="Picture 24"/>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103120" y="2245614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xdr:col>
      <xdr:colOff>121920</xdr:colOff>
      <xdr:row>155</xdr:row>
      <xdr:rowOff>22860</xdr:rowOff>
    </xdr:from>
    <xdr:to>
      <xdr:col>2</xdr:col>
      <xdr:colOff>301283</xdr:colOff>
      <xdr:row>156</xdr:row>
      <xdr:rowOff>2540</xdr:rowOff>
    </xdr:to>
    <xdr:pic>
      <xdr:nvPicPr>
        <xdr:cNvPr id="26" name="Picture 25"/>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110740" y="2282952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xdr:col>
      <xdr:colOff>106680</xdr:colOff>
      <xdr:row>157</xdr:row>
      <xdr:rowOff>30480</xdr:rowOff>
    </xdr:from>
    <xdr:to>
      <xdr:col>2</xdr:col>
      <xdr:colOff>286043</xdr:colOff>
      <xdr:row>158</xdr:row>
      <xdr:rowOff>10160</xdr:rowOff>
    </xdr:to>
    <xdr:pic>
      <xdr:nvPicPr>
        <xdr:cNvPr id="27" name="Picture 26"/>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095500" y="2320290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xdr:col>
      <xdr:colOff>121920</xdr:colOff>
      <xdr:row>159</xdr:row>
      <xdr:rowOff>30480</xdr:rowOff>
    </xdr:from>
    <xdr:to>
      <xdr:col>2</xdr:col>
      <xdr:colOff>301283</xdr:colOff>
      <xdr:row>160</xdr:row>
      <xdr:rowOff>10160</xdr:rowOff>
    </xdr:to>
    <xdr:pic>
      <xdr:nvPicPr>
        <xdr:cNvPr id="28" name="Picture 27"/>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110740" y="2356866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xdr:col>
      <xdr:colOff>114300</xdr:colOff>
      <xdr:row>171</xdr:row>
      <xdr:rowOff>38100</xdr:rowOff>
    </xdr:from>
    <xdr:to>
      <xdr:col>2</xdr:col>
      <xdr:colOff>293663</xdr:colOff>
      <xdr:row>172</xdr:row>
      <xdr:rowOff>17780</xdr:rowOff>
    </xdr:to>
    <xdr:pic>
      <xdr:nvPicPr>
        <xdr:cNvPr id="29" name="Picture 28"/>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103120" y="2540508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xdr:col>
      <xdr:colOff>106680</xdr:colOff>
      <xdr:row>209</xdr:row>
      <xdr:rowOff>38100</xdr:rowOff>
    </xdr:from>
    <xdr:to>
      <xdr:col>2</xdr:col>
      <xdr:colOff>286043</xdr:colOff>
      <xdr:row>210</xdr:row>
      <xdr:rowOff>17780</xdr:rowOff>
    </xdr:to>
    <xdr:pic>
      <xdr:nvPicPr>
        <xdr:cNvPr id="30" name="Picture 29"/>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095500" y="3015996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xdr:col>
      <xdr:colOff>137160</xdr:colOff>
      <xdr:row>285</xdr:row>
      <xdr:rowOff>30480</xdr:rowOff>
    </xdr:from>
    <xdr:to>
      <xdr:col>2</xdr:col>
      <xdr:colOff>316523</xdr:colOff>
      <xdr:row>286</xdr:row>
      <xdr:rowOff>10160</xdr:rowOff>
    </xdr:to>
    <xdr:pic>
      <xdr:nvPicPr>
        <xdr:cNvPr id="31" name="Picture 30"/>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125980" y="3905250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xdr:col>
      <xdr:colOff>121920</xdr:colOff>
      <xdr:row>161</xdr:row>
      <xdr:rowOff>22860</xdr:rowOff>
    </xdr:from>
    <xdr:to>
      <xdr:col>2</xdr:col>
      <xdr:colOff>301283</xdr:colOff>
      <xdr:row>162</xdr:row>
      <xdr:rowOff>2540</xdr:rowOff>
    </xdr:to>
    <xdr:pic>
      <xdr:nvPicPr>
        <xdr:cNvPr id="33" name="Picture 32"/>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110740" y="2392680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xdr:from>
      <xdr:col>1</xdr:col>
      <xdr:colOff>6697980</xdr:colOff>
      <xdr:row>38</xdr:row>
      <xdr:rowOff>38100</xdr:rowOff>
    </xdr:from>
    <xdr:to>
      <xdr:col>1</xdr:col>
      <xdr:colOff>6896418</xdr:colOff>
      <xdr:row>39</xdr:row>
      <xdr:rowOff>100012</xdr:rowOff>
    </xdr:to>
    <xdr:pic>
      <xdr:nvPicPr>
        <xdr:cNvPr id="34" name="Picture 33" descr="intercontinental_hotels___resorts___3d_icon___jpg_formatintercontinental_hotels___resorts___3d_icon___jpg_format_da_1389334_6"/>
        <xdr:cNvPicPr>
          <a:picLocks noChangeAspect="1" noChangeArrowheads="1"/>
        </xdr:cNvPicPr>
      </xdr:nvPicPr>
      <xdr:blipFill>
        <a:blip xmlns:r="http://schemas.openxmlformats.org/officeDocument/2006/relationships" r:embed="rId3" cstate="print"/>
        <a:srcRect l="24408" t="20360" r="24777" b="20061"/>
        <a:stretch>
          <a:fillRect/>
        </a:stretch>
      </xdr:blipFill>
      <xdr:spPr bwMode="auto">
        <a:xfrm>
          <a:off x="1988820" y="9075420"/>
          <a:ext cx="318" cy="214312"/>
        </a:xfrm>
        <a:prstGeom prst="rect">
          <a:avLst/>
        </a:prstGeom>
        <a:noFill/>
        <a:ln w="9525">
          <a:noFill/>
          <a:miter lim="800000"/>
          <a:headEnd/>
          <a:tailEnd/>
        </a:ln>
      </xdr:spPr>
    </xdr:pic>
    <xdr:clientData/>
  </xdr:twoCellAnchor>
  <xdr:twoCellAnchor>
    <xdr:from>
      <xdr:col>1</xdr:col>
      <xdr:colOff>6705600</xdr:colOff>
      <xdr:row>40</xdr:row>
      <xdr:rowOff>60960</xdr:rowOff>
    </xdr:from>
    <xdr:to>
      <xdr:col>1</xdr:col>
      <xdr:colOff>6904038</xdr:colOff>
      <xdr:row>41</xdr:row>
      <xdr:rowOff>122872</xdr:rowOff>
    </xdr:to>
    <xdr:pic>
      <xdr:nvPicPr>
        <xdr:cNvPr id="35" name="Picture 34" descr="intercontinental_hotels___resorts___3d_icon___jpg_formatintercontinental_hotels___resorts___3d_icon___jpg_format_da_1389334_6"/>
        <xdr:cNvPicPr>
          <a:picLocks noChangeAspect="1" noChangeArrowheads="1"/>
        </xdr:cNvPicPr>
      </xdr:nvPicPr>
      <xdr:blipFill>
        <a:blip xmlns:r="http://schemas.openxmlformats.org/officeDocument/2006/relationships" r:embed="rId3" cstate="print"/>
        <a:srcRect l="24408" t="20360" r="24777" b="20061"/>
        <a:stretch>
          <a:fillRect/>
        </a:stretch>
      </xdr:blipFill>
      <xdr:spPr bwMode="auto">
        <a:xfrm>
          <a:off x="1988820" y="9349740"/>
          <a:ext cx="318" cy="191452"/>
        </a:xfrm>
        <a:prstGeom prst="rect">
          <a:avLst/>
        </a:prstGeom>
        <a:noFill/>
        <a:ln w="9525">
          <a:noFill/>
          <a:miter lim="800000"/>
          <a:headEnd/>
          <a:tailEnd/>
        </a:ln>
      </xdr:spPr>
    </xdr:pic>
    <xdr:clientData/>
  </xdr:twoCellAnchor>
  <xdr:twoCellAnchor>
    <xdr:from>
      <xdr:col>1</xdr:col>
      <xdr:colOff>6629400</xdr:colOff>
      <xdr:row>44</xdr:row>
      <xdr:rowOff>91440</xdr:rowOff>
    </xdr:from>
    <xdr:to>
      <xdr:col>1</xdr:col>
      <xdr:colOff>7042150</xdr:colOff>
      <xdr:row>45</xdr:row>
      <xdr:rowOff>86995</xdr:rowOff>
    </xdr:to>
    <xdr:pic>
      <xdr:nvPicPr>
        <xdr:cNvPr id="36" name="Picture 35" descr="new_hie_4_colour_cmyk_r_ainew_hie_4_colour_cmyk_r_ai_da_1623039_6"/>
        <xdr:cNvPicPr>
          <a:picLocks noChangeAspect="1" noChangeArrowheads="1"/>
        </xdr:cNvPicPr>
      </xdr:nvPicPr>
      <xdr:blipFill>
        <a:blip xmlns:r="http://schemas.openxmlformats.org/officeDocument/2006/relationships" r:embed="rId5" cstate="print"/>
        <a:srcRect t="23204" b="24551"/>
        <a:stretch>
          <a:fillRect/>
        </a:stretch>
      </xdr:blipFill>
      <xdr:spPr bwMode="auto">
        <a:xfrm>
          <a:off x="1988820" y="9883140"/>
          <a:ext cx="1270" cy="163195"/>
        </a:xfrm>
        <a:prstGeom prst="rect">
          <a:avLst/>
        </a:prstGeom>
        <a:noFill/>
        <a:ln w="9525">
          <a:noFill/>
          <a:miter lim="800000"/>
          <a:headEnd/>
          <a:tailEnd/>
        </a:ln>
      </xdr:spPr>
    </xdr:pic>
    <xdr:clientData/>
  </xdr:twoCellAnchor>
  <xdr:twoCellAnchor editAs="oneCell">
    <xdr:from>
      <xdr:col>1</xdr:col>
      <xdr:colOff>1607820</xdr:colOff>
      <xdr:row>209</xdr:row>
      <xdr:rowOff>30480</xdr:rowOff>
    </xdr:from>
    <xdr:to>
      <xdr:col>2</xdr:col>
      <xdr:colOff>114301</xdr:colOff>
      <xdr:row>210</xdr:row>
      <xdr:rowOff>58616</xdr:rowOff>
    </xdr:to>
    <xdr:pic>
      <xdr:nvPicPr>
        <xdr:cNvPr id="40" name="Picture 39"/>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9199" t="60564" r="69151" b="35743"/>
        <a:stretch/>
      </xdr:blipFill>
      <xdr:spPr bwMode="auto">
        <a:xfrm>
          <a:off x="1935480" y="30152340"/>
          <a:ext cx="167641" cy="21101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xdr:col>
      <xdr:colOff>114300</xdr:colOff>
      <xdr:row>209</xdr:row>
      <xdr:rowOff>38100</xdr:rowOff>
    </xdr:from>
    <xdr:to>
      <xdr:col>2</xdr:col>
      <xdr:colOff>293663</xdr:colOff>
      <xdr:row>210</xdr:row>
      <xdr:rowOff>17780</xdr:rowOff>
    </xdr:to>
    <xdr:pic>
      <xdr:nvPicPr>
        <xdr:cNvPr id="41" name="Picture 40"/>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103120" y="3015996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xdr:col>
      <xdr:colOff>60960</xdr:colOff>
      <xdr:row>303</xdr:row>
      <xdr:rowOff>7620</xdr:rowOff>
    </xdr:from>
    <xdr:to>
      <xdr:col>2</xdr:col>
      <xdr:colOff>240323</xdr:colOff>
      <xdr:row>303</xdr:row>
      <xdr:rowOff>170180</xdr:rowOff>
    </xdr:to>
    <xdr:pic>
      <xdr:nvPicPr>
        <xdr:cNvPr id="42" name="Picture 41"/>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049780" y="4110228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xdr:col>
      <xdr:colOff>1638300</xdr:colOff>
      <xdr:row>319</xdr:row>
      <xdr:rowOff>15240</xdr:rowOff>
    </xdr:from>
    <xdr:to>
      <xdr:col>2</xdr:col>
      <xdr:colOff>144781</xdr:colOff>
      <xdr:row>320</xdr:row>
      <xdr:rowOff>43376</xdr:rowOff>
    </xdr:to>
    <xdr:pic>
      <xdr:nvPicPr>
        <xdr:cNvPr id="43" name="Picture 42"/>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9199" t="60564" r="69151" b="35743"/>
        <a:stretch/>
      </xdr:blipFill>
      <xdr:spPr bwMode="auto">
        <a:xfrm>
          <a:off x="1965960" y="43304460"/>
          <a:ext cx="167641" cy="21101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xdr:col>
      <xdr:colOff>99060</xdr:colOff>
      <xdr:row>32</xdr:row>
      <xdr:rowOff>15240</xdr:rowOff>
    </xdr:from>
    <xdr:to>
      <xdr:col>2</xdr:col>
      <xdr:colOff>278423</xdr:colOff>
      <xdr:row>32</xdr:row>
      <xdr:rowOff>177800</xdr:rowOff>
    </xdr:to>
    <xdr:pic>
      <xdr:nvPicPr>
        <xdr:cNvPr id="46" name="Picture 45"/>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087880" y="621030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3</xdr:col>
      <xdr:colOff>2278380</xdr:colOff>
      <xdr:row>55</xdr:row>
      <xdr:rowOff>22860</xdr:rowOff>
    </xdr:from>
    <xdr:to>
      <xdr:col>4</xdr:col>
      <xdr:colOff>4103</xdr:colOff>
      <xdr:row>56</xdr:row>
      <xdr:rowOff>2540</xdr:rowOff>
    </xdr:to>
    <xdr:pic>
      <xdr:nvPicPr>
        <xdr:cNvPr id="47" name="Picture 46"/>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4594860" y="914400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1</xdr:row>
      <xdr:rowOff>0</xdr:rowOff>
    </xdr:from>
    <xdr:to>
      <xdr:col>1</xdr:col>
      <xdr:colOff>274320</xdr:colOff>
      <xdr:row>1</xdr:row>
      <xdr:rowOff>297180</xdr:rowOff>
    </xdr:to>
    <xdr:pic>
      <xdr:nvPicPr>
        <xdr:cNvPr id="2" name="Picture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84024"/>
        <a:stretch/>
      </xdr:blipFill>
      <xdr:spPr>
        <a:xfrm>
          <a:off x="190500" y="76200"/>
          <a:ext cx="411480" cy="297180"/>
        </a:xfrm>
        <a:prstGeom prst="rect">
          <a:avLst/>
        </a:prstGeom>
      </xdr:spPr>
    </xdr:pic>
    <xdr:clientData/>
  </xdr:twoCellAnchor>
  <xdr:twoCellAnchor editAs="oneCell">
    <xdr:from>
      <xdr:col>2</xdr:col>
      <xdr:colOff>114300</xdr:colOff>
      <xdr:row>16</xdr:row>
      <xdr:rowOff>68580</xdr:rowOff>
    </xdr:from>
    <xdr:to>
      <xdr:col>2</xdr:col>
      <xdr:colOff>293663</xdr:colOff>
      <xdr:row>16</xdr:row>
      <xdr:rowOff>231140</xdr:rowOff>
    </xdr:to>
    <xdr:pic>
      <xdr:nvPicPr>
        <xdr:cNvPr id="3" name="Picture 2"/>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103120" y="393954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xdr:from>
      <xdr:col>3</xdr:col>
      <xdr:colOff>6697980</xdr:colOff>
      <xdr:row>38</xdr:row>
      <xdr:rowOff>38100</xdr:rowOff>
    </xdr:from>
    <xdr:to>
      <xdr:col>3</xdr:col>
      <xdr:colOff>6896418</xdr:colOff>
      <xdr:row>39</xdr:row>
      <xdr:rowOff>100012</xdr:rowOff>
    </xdr:to>
    <xdr:pic>
      <xdr:nvPicPr>
        <xdr:cNvPr id="4" name="Picture 3" descr="intercontinental_hotels___resorts___3d_icon___jpg_formatintercontinental_hotels___resorts___3d_icon___jpg_format_da_1389334_6"/>
        <xdr:cNvPicPr>
          <a:picLocks noChangeAspect="1" noChangeArrowheads="1"/>
        </xdr:cNvPicPr>
      </xdr:nvPicPr>
      <xdr:blipFill>
        <a:blip xmlns:r="http://schemas.openxmlformats.org/officeDocument/2006/relationships" r:embed="rId3" cstate="print"/>
        <a:srcRect l="24408" t="20360" r="24777" b="20061"/>
        <a:stretch>
          <a:fillRect/>
        </a:stretch>
      </xdr:blipFill>
      <xdr:spPr bwMode="auto">
        <a:xfrm>
          <a:off x="4770120" y="6850380"/>
          <a:ext cx="318" cy="214312"/>
        </a:xfrm>
        <a:prstGeom prst="rect">
          <a:avLst/>
        </a:prstGeom>
        <a:noFill/>
        <a:ln w="9525">
          <a:noFill/>
          <a:miter lim="800000"/>
          <a:headEnd/>
          <a:tailEnd/>
        </a:ln>
      </xdr:spPr>
    </xdr:pic>
    <xdr:clientData/>
  </xdr:twoCellAnchor>
  <xdr:twoCellAnchor>
    <xdr:from>
      <xdr:col>3</xdr:col>
      <xdr:colOff>6606540</xdr:colOff>
      <xdr:row>42</xdr:row>
      <xdr:rowOff>38100</xdr:rowOff>
    </xdr:from>
    <xdr:to>
      <xdr:col>3</xdr:col>
      <xdr:colOff>7038340</xdr:colOff>
      <xdr:row>43</xdr:row>
      <xdr:rowOff>131762</xdr:rowOff>
    </xdr:to>
    <xdr:pic>
      <xdr:nvPicPr>
        <xdr:cNvPr id="5" name="Picture 4" descr="holiday_inn_core_logo___jpg_formatholiday_inn_core_logo___jpg_format_da_1632229_6"/>
        <xdr:cNvPicPr>
          <a:picLocks noChangeAspect="1" noChangeArrowheads="1"/>
        </xdr:cNvPicPr>
      </xdr:nvPicPr>
      <xdr:blipFill>
        <a:blip xmlns:r="http://schemas.openxmlformats.org/officeDocument/2006/relationships" r:embed="rId4" cstate="print"/>
        <a:srcRect/>
        <a:stretch>
          <a:fillRect/>
        </a:stretch>
      </xdr:blipFill>
      <xdr:spPr bwMode="auto">
        <a:xfrm>
          <a:off x="4770120" y="7353300"/>
          <a:ext cx="0" cy="215582"/>
        </a:xfrm>
        <a:prstGeom prst="rect">
          <a:avLst/>
        </a:prstGeom>
        <a:noFill/>
        <a:ln w="9525">
          <a:noFill/>
          <a:miter lim="800000"/>
          <a:headEnd/>
          <a:tailEnd/>
        </a:ln>
      </xdr:spPr>
    </xdr:pic>
    <xdr:clientData/>
  </xdr:twoCellAnchor>
  <xdr:twoCellAnchor>
    <xdr:from>
      <xdr:col>3</xdr:col>
      <xdr:colOff>6629400</xdr:colOff>
      <xdr:row>44</xdr:row>
      <xdr:rowOff>91440</xdr:rowOff>
    </xdr:from>
    <xdr:to>
      <xdr:col>3</xdr:col>
      <xdr:colOff>7042150</xdr:colOff>
      <xdr:row>45</xdr:row>
      <xdr:rowOff>86995</xdr:rowOff>
    </xdr:to>
    <xdr:pic>
      <xdr:nvPicPr>
        <xdr:cNvPr id="6" name="Picture 5" descr="new_hie_4_colour_cmyk_r_ainew_hie_4_colour_cmyk_r_ai_da_1623039_6"/>
        <xdr:cNvPicPr>
          <a:picLocks noChangeAspect="1" noChangeArrowheads="1"/>
        </xdr:cNvPicPr>
      </xdr:nvPicPr>
      <xdr:blipFill>
        <a:blip xmlns:r="http://schemas.openxmlformats.org/officeDocument/2006/relationships" r:embed="rId5" cstate="print"/>
        <a:srcRect t="23204" b="24551"/>
        <a:stretch>
          <a:fillRect/>
        </a:stretch>
      </xdr:blipFill>
      <xdr:spPr bwMode="auto">
        <a:xfrm>
          <a:off x="4770120" y="7658100"/>
          <a:ext cx="1270" cy="163195"/>
        </a:xfrm>
        <a:prstGeom prst="rect">
          <a:avLst/>
        </a:prstGeom>
        <a:noFill/>
        <a:ln w="9525">
          <a:noFill/>
          <a:miter lim="800000"/>
          <a:headEnd/>
          <a:tailEnd/>
        </a:ln>
      </xdr:spPr>
    </xdr:pic>
    <xdr:clientData/>
  </xdr:twoCellAnchor>
  <xdr:twoCellAnchor editAs="oneCell">
    <xdr:from>
      <xdr:col>1</xdr:col>
      <xdr:colOff>1607820</xdr:colOff>
      <xdr:row>6</xdr:row>
      <xdr:rowOff>7620</xdr:rowOff>
    </xdr:from>
    <xdr:to>
      <xdr:col>2</xdr:col>
      <xdr:colOff>114301</xdr:colOff>
      <xdr:row>6</xdr:row>
      <xdr:rowOff>218636</xdr:rowOff>
    </xdr:to>
    <xdr:pic>
      <xdr:nvPicPr>
        <xdr:cNvPr id="7" name="Picture 6"/>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9199" t="60564" r="69151" b="35743"/>
        <a:stretch/>
      </xdr:blipFill>
      <xdr:spPr bwMode="auto">
        <a:xfrm>
          <a:off x="1935480" y="1043940"/>
          <a:ext cx="167641" cy="21101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xdr:col>
      <xdr:colOff>1592580</xdr:colOff>
      <xdr:row>16</xdr:row>
      <xdr:rowOff>60960</xdr:rowOff>
    </xdr:from>
    <xdr:to>
      <xdr:col>2</xdr:col>
      <xdr:colOff>99061</xdr:colOff>
      <xdr:row>16</xdr:row>
      <xdr:rowOff>271976</xdr:rowOff>
    </xdr:to>
    <xdr:pic>
      <xdr:nvPicPr>
        <xdr:cNvPr id="8" name="Picture 7"/>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9199" t="60564" r="69151" b="35743"/>
        <a:stretch/>
      </xdr:blipFill>
      <xdr:spPr bwMode="auto">
        <a:xfrm>
          <a:off x="1920240" y="3931920"/>
          <a:ext cx="167641" cy="21101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xdr:col>
      <xdr:colOff>1554480</xdr:colOff>
      <xdr:row>30</xdr:row>
      <xdr:rowOff>7620</xdr:rowOff>
    </xdr:from>
    <xdr:to>
      <xdr:col>2</xdr:col>
      <xdr:colOff>60961</xdr:colOff>
      <xdr:row>31</xdr:row>
      <xdr:rowOff>35756</xdr:rowOff>
    </xdr:to>
    <xdr:pic>
      <xdr:nvPicPr>
        <xdr:cNvPr id="9" name="Picture 8"/>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9199" t="60564" r="69151" b="35743"/>
        <a:stretch/>
      </xdr:blipFill>
      <xdr:spPr bwMode="auto">
        <a:xfrm>
          <a:off x="1882140" y="5836920"/>
          <a:ext cx="167641" cy="21101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xdr:col>
      <xdr:colOff>1554480</xdr:colOff>
      <xdr:row>32</xdr:row>
      <xdr:rowOff>0</xdr:rowOff>
    </xdr:from>
    <xdr:to>
      <xdr:col>2</xdr:col>
      <xdr:colOff>60961</xdr:colOff>
      <xdr:row>33</xdr:row>
      <xdr:rowOff>28136</xdr:rowOff>
    </xdr:to>
    <xdr:pic>
      <xdr:nvPicPr>
        <xdr:cNvPr id="10" name="Picture 9"/>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9199" t="60564" r="69151" b="35743"/>
        <a:stretch/>
      </xdr:blipFill>
      <xdr:spPr bwMode="auto">
        <a:xfrm>
          <a:off x="1882140" y="6195060"/>
          <a:ext cx="167641" cy="21101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xdr:col>
      <xdr:colOff>1592580</xdr:colOff>
      <xdr:row>53</xdr:row>
      <xdr:rowOff>0</xdr:rowOff>
    </xdr:from>
    <xdr:to>
      <xdr:col>2</xdr:col>
      <xdr:colOff>99061</xdr:colOff>
      <xdr:row>54</xdr:row>
      <xdr:rowOff>28136</xdr:rowOff>
    </xdr:to>
    <xdr:pic>
      <xdr:nvPicPr>
        <xdr:cNvPr id="11" name="Picture 10"/>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9199" t="60564" r="69151" b="35743"/>
        <a:stretch/>
      </xdr:blipFill>
      <xdr:spPr bwMode="auto">
        <a:xfrm>
          <a:off x="1920240" y="8755380"/>
          <a:ext cx="167641" cy="21101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xdr:col>
      <xdr:colOff>1600200</xdr:colOff>
      <xdr:row>153</xdr:row>
      <xdr:rowOff>15240</xdr:rowOff>
    </xdr:from>
    <xdr:to>
      <xdr:col>2</xdr:col>
      <xdr:colOff>106681</xdr:colOff>
      <xdr:row>154</xdr:row>
      <xdr:rowOff>43376</xdr:rowOff>
    </xdr:to>
    <xdr:pic>
      <xdr:nvPicPr>
        <xdr:cNvPr id="12" name="Picture 11"/>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9199" t="60564" r="69151" b="35743"/>
        <a:stretch/>
      </xdr:blipFill>
      <xdr:spPr bwMode="auto">
        <a:xfrm>
          <a:off x="1927860" y="20231100"/>
          <a:ext cx="167641" cy="21101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xdr:col>
      <xdr:colOff>1600200</xdr:colOff>
      <xdr:row>155</xdr:row>
      <xdr:rowOff>15240</xdr:rowOff>
    </xdr:from>
    <xdr:to>
      <xdr:col>2</xdr:col>
      <xdr:colOff>106681</xdr:colOff>
      <xdr:row>156</xdr:row>
      <xdr:rowOff>43376</xdr:rowOff>
    </xdr:to>
    <xdr:pic>
      <xdr:nvPicPr>
        <xdr:cNvPr id="13" name="Picture 12"/>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9199" t="60564" r="69151" b="35743"/>
        <a:stretch/>
      </xdr:blipFill>
      <xdr:spPr bwMode="auto">
        <a:xfrm>
          <a:off x="1927860" y="20596860"/>
          <a:ext cx="167641" cy="21101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xdr:col>
      <xdr:colOff>1600200</xdr:colOff>
      <xdr:row>157</xdr:row>
      <xdr:rowOff>15240</xdr:rowOff>
    </xdr:from>
    <xdr:to>
      <xdr:col>2</xdr:col>
      <xdr:colOff>106681</xdr:colOff>
      <xdr:row>158</xdr:row>
      <xdr:rowOff>43376</xdr:rowOff>
    </xdr:to>
    <xdr:pic>
      <xdr:nvPicPr>
        <xdr:cNvPr id="14" name="Picture 13"/>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9199" t="60564" r="69151" b="35743"/>
        <a:stretch/>
      </xdr:blipFill>
      <xdr:spPr bwMode="auto">
        <a:xfrm>
          <a:off x="1927860" y="20962620"/>
          <a:ext cx="167641" cy="21101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xdr:col>
      <xdr:colOff>1607820</xdr:colOff>
      <xdr:row>171</xdr:row>
      <xdr:rowOff>30480</xdr:rowOff>
    </xdr:from>
    <xdr:to>
      <xdr:col>2</xdr:col>
      <xdr:colOff>114301</xdr:colOff>
      <xdr:row>172</xdr:row>
      <xdr:rowOff>58616</xdr:rowOff>
    </xdr:to>
    <xdr:pic>
      <xdr:nvPicPr>
        <xdr:cNvPr id="16" name="Picture 15"/>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9199" t="60564" r="69151" b="35743"/>
        <a:stretch/>
      </xdr:blipFill>
      <xdr:spPr bwMode="auto">
        <a:xfrm>
          <a:off x="1935480" y="23172420"/>
          <a:ext cx="167641" cy="21101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xdr:col>
      <xdr:colOff>1607820</xdr:colOff>
      <xdr:row>209</xdr:row>
      <xdr:rowOff>30480</xdr:rowOff>
    </xdr:from>
    <xdr:to>
      <xdr:col>2</xdr:col>
      <xdr:colOff>114301</xdr:colOff>
      <xdr:row>210</xdr:row>
      <xdr:rowOff>58616</xdr:rowOff>
    </xdr:to>
    <xdr:pic>
      <xdr:nvPicPr>
        <xdr:cNvPr id="17" name="Picture 16"/>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9199" t="60564" r="69151" b="35743"/>
        <a:stretch/>
      </xdr:blipFill>
      <xdr:spPr bwMode="auto">
        <a:xfrm>
          <a:off x="1935480" y="27927300"/>
          <a:ext cx="167641" cy="21101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xdr:col>
      <xdr:colOff>15240</xdr:colOff>
      <xdr:row>275</xdr:row>
      <xdr:rowOff>7620</xdr:rowOff>
    </xdr:from>
    <xdr:to>
      <xdr:col>2</xdr:col>
      <xdr:colOff>182881</xdr:colOff>
      <xdr:row>276</xdr:row>
      <xdr:rowOff>35756</xdr:rowOff>
    </xdr:to>
    <xdr:pic>
      <xdr:nvPicPr>
        <xdr:cNvPr id="18" name="Picture 17"/>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9199" t="60564" r="69151" b="35743"/>
        <a:stretch/>
      </xdr:blipFill>
      <xdr:spPr bwMode="auto">
        <a:xfrm>
          <a:off x="2004060" y="35524440"/>
          <a:ext cx="167641" cy="21101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xdr:col>
      <xdr:colOff>1638300</xdr:colOff>
      <xdr:row>285</xdr:row>
      <xdr:rowOff>15240</xdr:rowOff>
    </xdr:from>
    <xdr:to>
      <xdr:col>2</xdr:col>
      <xdr:colOff>144781</xdr:colOff>
      <xdr:row>286</xdr:row>
      <xdr:rowOff>43376</xdr:rowOff>
    </xdr:to>
    <xdr:pic>
      <xdr:nvPicPr>
        <xdr:cNvPr id="19" name="Picture 18"/>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9199" t="60564" r="69151" b="35743"/>
        <a:stretch/>
      </xdr:blipFill>
      <xdr:spPr bwMode="auto">
        <a:xfrm>
          <a:off x="1965960" y="36812220"/>
          <a:ext cx="167641" cy="21101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xdr:col>
      <xdr:colOff>99060</xdr:colOff>
      <xdr:row>30</xdr:row>
      <xdr:rowOff>7620</xdr:rowOff>
    </xdr:from>
    <xdr:to>
      <xdr:col>2</xdr:col>
      <xdr:colOff>278423</xdr:colOff>
      <xdr:row>30</xdr:row>
      <xdr:rowOff>170180</xdr:rowOff>
    </xdr:to>
    <xdr:pic>
      <xdr:nvPicPr>
        <xdr:cNvPr id="20" name="Picture 19"/>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087880" y="583692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xdr:col>
      <xdr:colOff>114300</xdr:colOff>
      <xdr:row>153</xdr:row>
      <xdr:rowOff>15240</xdr:rowOff>
    </xdr:from>
    <xdr:to>
      <xdr:col>2</xdr:col>
      <xdr:colOff>293663</xdr:colOff>
      <xdr:row>153</xdr:row>
      <xdr:rowOff>177800</xdr:rowOff>
    </xdr:to>
    <xdr:pic>
      <xdr:nvPicPr>
        <xdr:cNvPr id="21" name="Picture 20"/>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103120" y="2023110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xdr:col>
      <xdr:colOff>121920</xdr:colOff>
      <xdr:row>155</xdr:row>
      <xdr:rowOff>22860</xdr:rowOff>
    </xdr:from>
    <xdr:to>
      <xdr:col>2</xdr:col>
      <xdr:colOff>301283</xdr:colOff>
      <xdr:row>156</xdr:row>
      <xdr:rowOff>2540</xdr:rowOff>
    </xdr:to>
    <xdr:pic>
      <xdr:nvPicPr>
        <xdr:cNvPr id="22" name="Picture 21"/>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110740" y="2060448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xdr:col>
      <xdr:colOff>106680</xdr:colOff>
      <xdr:row>157</xdr:row>
      <xdr:rowOff>30480</xdr:rowOff>
    </xdr:from>
    <xdr:to>
      <xdr:col>2</xdr:col>
      <xdr:colOff>286043</xdr:colOff>
      <xdr:row>158</xdr:row>
      <xdr:rowOff>10160</xdr:rowOff>
    </xdr:to>
    <xdr:pic>
      <xdr:nvPicPr>
        <xdr:cNvPr id="23" name="Picture 22"/>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095500" y="2097786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xdr:col>
      <xdr:colOff>121920</xdr:colOff>
      <xdr:row>159</xdr:row>
      <xdr:rowOff>30480</xdr:rowOff>
    </xdr:from>
    <xdr:to>
      <xdr:col>2</xdr:col>
      <xdr:colOff>301283</xdr:colOff>
      <xdr:row>160</xdr:row>
      <xdr:rowOff>10160</xdr:rowOff>
    </xdr:to>
    <xdr:pic>
      <xdr:nvPicPr>
        <xdr:cNvPr id="24" name="Picture 23"/>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110740" y="2134362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xdr:col>
      <xdr:colOff>114300</xdr:colOff>
      <xdr:row>171</xdr:row>
      <xdr:rowOff>38100</xdr:rowOff>
    </xdr:from>
    <xdr:to>
      <xdr:col>2</xdr:col>
      <xdr:colOff>293663</xdr:colOff>
      <xdr:row>172</xdr:row>
      <xdr:rowOff>17780</xdr:rowOff>
    </xdr:to>
    <xdr:pic>
      <xdr:nvPicPr>
        <xdr:cNvPr id="25" name="Picture 24"/>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103120" y="2318004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xdr:col>
      <xdr:colOff>106680</xdr:colOff>
      <xdr:row>209</xdr:row>
      <xdr:rowOff>38100</xdr:rowOff>
    </xdr:from>
    <xdr:to>
      <xdr:col>2</xdr:col>
      <xdr:colOff>286043</xdr:colOff>
      <xdr:row>210</xdr:row>
      <xdr:rowOff>17780</xdr:rowOff>
    </xdr:to>
    <xdr:pic>
      <xdr:nvPicPr>
        <xdr:cNvPr id="26" name="Picture 25"/>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095500" y="2793492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xdr:col>
      <xdr:colOff>137160</xdr:colOff>
      <xdr:row>285</xdr:row>
      <xdr:rowOff>30480</xdr:rowOff>
    </xdr:from>
    <xdr:to>
      <xdr:col>2</xdr:col>
      <xdr:colOff>316523</xdr:colOff>
      <xdr:row>286</xdr:row>
      <xdr:rowOff>10160</xdr:rowOff>
    </xdr:to>
    <xdr:pic>
      <xdr:nvPicPr>
        <xdr:cNvPr id="27" name="Picture 26"/>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125980" y="3682746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xdr:col>
      <xdr:colOff>121920</xdr:colOff>
      <xdr:row>161</xdr:row>
      <xdr:rowOff>22860</xdr:rowOff>
    </xdr:from>
    <xdr:to>
      <xdr:col>2</xdr:col>
      <xdr:colOff>301283</xdr:colOff>
      <xdr:row>162</xdr:row>
      <xdr:rowOff>2540</xdr:rowOff>
    </xdr:to>
    <xdr:pic>
      <xdr:nvPicPr>
        <xdr:cNvPr id="28" name="Picture 27"/>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110740" y="2170176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xdr:from>
      <xdr:col>1</xdr:col>
      <xdr:colOff>6697980</xdr:colOff>
      <xdr:row>38</xdr:row>
      <xdr:rowOff>38100</xdr:rowOff>
    </xdr:from>
    <xdr:to>
      <xdr:col>1</xdr:col>
      <xdr:colOff>6896418</xdr:colOff>
      <xdr:row>39</xdr:row>
      <xdr:rowOff>100012</xdr:rowOff>
    </xdr:to>
    <xdr:pic>
      <xdr:nvPicPr>
        <xdr:cNvPr id="29" name="Picture 28" descr="intercontinental_hotels___resorts___3d_icon___jpg_formatintercontinental_hotels___resorts___3d_icon___jpg_format_da_1389334_6"/>
        <xdr:cNvPicPr>
          <a:picLocks noChangeAspect="1" noChangeArrowheads="1"/>
        </xdr:cNvPicPr>
      </xdr:nvPicPr>
      <xdr:blipFill>
        <a:blip xmlns:r="http://schemas.openxmlformats.org/officeDocument/2006/relationships" r:embed="rId3" cstate="print"/>
        <a:srcRect l="24408" t="20360" r="24777" b="20061"/>
        <a:stretch>
          <a:fillRect/>
        </a:stretch>
      </xdr:blipFill>
      <xdr:spPr bwMode="auto">
        <a:xfrm>
          <a:off x="1988820" y="6850380"/>
          <a:ext cx="318" cy="214312"/>
        </a:xfrm>
        <a:prstGeom prst="rect">
          <a:avLst/>
        </a:prstGeom>
        <a:noFill/>
        <a:ln w="9525">
          <a:noFill/>
          <a:miter lim="800000"/>
          <a:headEnd/>
          <a:tailEnd/>
        </a:ln>
      </xdr:spPr>
    </xdr:pic>
    <xdr:clientData/>
  </xdr:twoCellAnchor>
  <xdr:twoCellAnchor>
    <xdr:from>
      <xdr:col>1</xdr:col>
      <xdr:colOff>6705600</xdr:colOff>
      <xdr:row>40</xdr:row>
      <xdr:rowOff>60960</xdr:rowOff>
    </xdr:from>
    <xdr:to>
      <xdr:col>1</xdr:col>
      <xdr:colOff>6904038</xdr:colOff>
      <xdr:row>41</xdr:row>
      <xdr:rowOff>122872</xdr:rowOff>
    </xdr:to>
    <xdr:pic>
      <xdr:nvPicPr>
        <xdr:cNvPr id="30" name="Picture 29" descr="intercontinental_hotels___resorts___3d_icon___jpg_formatintercontinental_hotels___resorts___3d_icon___jpg_format_da_1389334_6"/>
        <xdr:cNvPicPr>
          <a:picLocks noChangeAspect="1" noChangeArrowheads="1"/>
        </xdr:cNvPicPr>
      </xdr:nvPicPr>
      <xdr:blipFill>
        <a:blip xmlns:r="http://schemas.openxmlformats.org/officeDocument/2006/relationships" r:embed="rId3" cstate="print"/>
        <a:srcRect l="24408" t="20360" r="24777" b="20061"/>
        <a:stretch>
          <a:fillRect/>
        </a:stretch>
      </xdr:blipFill>
      <xdr:spPr bwMode="auto">
        <a:xfrm>
          <a:off x="1988820" y="7124700"/>
          <a:ext cx="318" cy="191452"/>
        </a:xfrm>
        <a:prstGeom prst="rect">
          <a:avLst/>
        </a:prstGeom>
        <a:noFill/>
        <a:ln w="9525">
          <a:noFill/>
          <a:miter lim="800000"/>
          <a:headEnd/>
          <a:tailEnd/>
        </a:ln>
      </xdr:spPr>
    </xdr:pic>
    <xdr:clientData/>
  </xdr:twoCellAnchor>
  <xdr:twoCellAnchor>
    <xdr:from>
      <xdr:col>1</xdr:col>
      <xdr:colOff>6629400</xdr:colOff>
      <xdr:row>44</xdr:row>
      <xdr:rowOff>91440</xdr:rowOff>
    </xdr:from>
    <xdr:to>
      <xdr:col>1</xdr:col>
      <xdr:colOff>7042150</xdr:colOff>
      <xdr:row>45</xdr:row>
      <xdr:rowOff>86995</xdr:rowOff>
    </xdr:to>
    <xdr:pic>
      <xdr:nvPicPr>
        <xdr:cNvPr id="31" name="Picture 30" descr="new_hie_4_colour_cmyk_r_ainew_hie_4_colour_cmyk_r_ai_da_1623039_6"/>
        <xdr:cNvPicPr>
          <a:picLocks noChangeAspect="1" noChangeArrowheads="1"/>
        </xdr:cNvPicPr>
      </xdr:nvPicPr>
      <xdr:blipFill>
        <a:blip xmlns:r="http://schemas.openxmlformats.org/officeDocument/2006/relationships" r:embed="rId5" cstate="print"/>
        <a:srcRect t="23204" b="24551"/>
        <a:stretch>
          <a:fillRect/>
        </a:stretch>
      </xdr:blipFill>
      <xdr:spPr bwMode="auto">
        <a:xfrm>
          <a:off x="1988820" y="7658100"/>
          <a:ext cx="1270" cy="163195"/>
        </a:xfrm>
        <a:prstGeom prst="rect">
          <a:avLst/>
        </a:prstGeom>
        <a:noFill/>
        <a:ln w="9525">
          <a:noFill/>
          <a:miter lim="800000"/>
          <a:headEnd/>
          <a:tailEnd/>
        </a:ln>
      </xdr:spPr>
    </xdr:pic>
    <xdr:clientData/>
  </xdr:twoCellAnchor>
  <xdr:twoCellAnchor editAs="oneCell">
    <xdr:from>
      <xdr:col>1</xdr:col>
      <xdr:colOff>1607820</xdr:colOff>
      <xdr:row>209</xdr:row>
      <xdr:rowOff>30480</xdr:rowOff>
    </xdr:from>
    <xdr:to>
      <xdr:col>2</xdr:col>
      <xdr:colOff>114301</xdr:colOff>
      <xdr:row>210</xdr:row>
      <xdr:rowOff>58616</xdr:rowOff>
    </xdr:to>
    <xdr:pic>
      <xdr:nvPicPr>
        <xdr:cNvPr id="32" name="Picture 31"/>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9199" t="60564" r="69151" b="35743"/>
        <a:stretch/>
      </xdr:blipFill>
      <xdr:spPr bwMode="auto">
        <a:xfrm>
          <a:off x="1935480" y="27927300"/>
          <a:ext cx="167641" cy="21101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xdr:col>
      <xdr:colOff>114300</xdr:colOff>
      <xdr:row>209</xdr:row>
      <xdr:rowOff>38100</xdr:rowOff>
    </xdr:from>
    <xdr:to>
      <xdr:col>2</xdr:col>
      <xdr:colOff>293663</xdr:colOff>
      <xdr:row>210</xdr:row>
      <xdr:rowOff>17780</xdr:rowOff>
    </xdr:to>
    <xdr:pic>
      <xdr:nvPicPr>
        <xdr:cNvPr id="33" name="Picture 32"/>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103120" y="2793492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xdr:col>
      <xdr:colOff>60960</xdr:colOff>
      <xdr:row>303</xdr:row>
      <xdr:rowOff>7620</xdr:rowOff>
    </xdr:from>
    <xdr:to>
      <xdr:col>2</xdr:col>
      <xdr:colOff>240323</xdr:colOff>
      <xdr:row>303</xdr:row>
      <xdr:rowOff>170180</xdr:rowOff>
    </xdr:to>
    <xdr:pic>
      <xdr:nvPicPr>
        <xdr:cNvPr id="34" name="Picture 33"/>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049780" y="3887724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xdr:col>
      <xdr:colOff>1638300</xdr:colOff>
      <xdr:row>319</xdr:row>
      <xdr:rowOff>15240</xdr:rowOff>
    </xdr:from>
    <xdr:to>
      <xdr:col>2</xdr:col>
      <xdr:colOff>144781</xdr:colOff>
      <xdr:row>320</xdr:row>
      <xdr:rowOff>43376</xdr:rowOff>
    </xdr:to>
    <xdr:pic>
      <xdr:nvPicPr>
        <xdr:cNvPr id="35" name="Picture 34"/>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9199" t="60564" r="69151" b="35743"/>
        <a:stretch/>
      </xdr:blipFill>
      <xdr:spPr bwMode="auto">
        <a:xfrm>
          <a:off x="1965960" y="41079420"/>
          <a:ext cx="167641" cy="21101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xdr:col>
      <xdr:colOff>99060</xdr:colOff>
      <xdr:row>32</xdr:row>
      <xdr:rowOff>15240</xdr:rowOff>
    </xdr:from>
    <xdr:to>
      <xdr:col>2</xdr:col>
      <xdr:colOff>278423</xdr:colOff>
      <xdr:row>32</xdr:row>
      <xdr:rowOff>177800</xdr:rowOff>
    </xdr:to>
    <xdr:pic>
      <xdr:nvPicPr>
        <xdr:cNvPr id="36" name="Picture 35"/>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087880" y="621030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3</xdr:col>
      <xdr:colOff>2278380</xdr:colOff>
      <xdr:row>55</xdr:row>
      <xdr:rowOff>22860</xdr:rowOff>
    </xdr:from>
    <xdr:to>
      <xdr:col>4</xdr:col>
      <xdr:colOff>4103</xdr:colOff>
      <xdr:row>56</xdr:row>
      <xdr:rowOff>2540</xdr:rowOff>
    </xdr:to>
    <xdr:pic>
      <xdr:nvPicPr>
        <xdr:cNvPr id="37" name="Picture 36"/>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4594860" y="914400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oneCellAnchor>
    <xdr:from>
      <xdr:col>0</xdr:col>
      <xdr:colOff>190500</xdr:colOff>
      <xdr:row>1</xdr:row>
      <xdr:rowOff>0</xdr:rowOff>
    </xdr:from>
    <xdr:ext cx="398145" cy="297180"/>
    <xdr:pic>
      <xdr:nvPicPr>
        <xdr:cNvPr id="2" name="Picture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84024"/>
        <a:stretch/>
      </xdr:blipFill>
      <xdr:spPr>
        <a:xfrm>
          <a:off x="190500" y="76200"/>
          <a:ext cx="411480" cy="297180"/>
        </a:xfrm>
        <a:prstGeom prst="rect">
          <a:avLst/>
        </a:prstGeom>
      </xdr:spPr>
    </xdr:pic>
    <xdr:clientData/>
  </xdr:oneCellAnchor>
  <xdr:oneCellAnchor>
    <xdr:from>
      <xdr:col>4</xdr:col>
      <xdr:colOff>114300</xdr:colOff>
      <xdr:row>1</xdr:row>
      <xdr:rowOff>121920</xdr:rowOff>
    </xdr:from>
    <xdr:ext cx="179363" cy="162560"/>
    <xdr:pic>
      <xdr:nvPicPr>
        <xdr:cNvPr id="36" name="Picture 35"/>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4884420" y="19812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oneCellAnchor>
  <xdr:oneCellAnchor>
    <xdr:from>
      <xdr:col>2</xdr:col>
      <xdr:colOff>60960</xdr:colOff>
      <xdr:row>31</xdr:row>
      <xdr:rowOff>7620</xdr:rowOff>
    </xdr:from>
    <xdr:ext cx="179363" cy="162560"/>
    <xdr:pic>
      <xdr:nvPicPr>
        <xdr:cNvPr id="41" name="Picture 40"/>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049780" y="41361360"/>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oneCellAnchor>
  <mc:AlternateContent xmlns:mc="http://schemas.openxmlformats.org/markup-compatibility/2006">
    <mc:Choice xmlns:a14="http://schemas.microsoft.com/office/drawing/2010/main" Requires="a14">
      <xdr:twoCellAnchor>
        <xdr:from>
          <xdr:col>5</xdr:col>
          <xdr:colOff>137160</xdr:colOff>
          <xdr:row>90</xdr:row>
          <xdr:rowOff>0</xdr:rowOff>
        </xdr:from>
        <xdr:to>
          <xdr:col>5</xdr:col>
          <xdr:colOff>2316480</xdr:colOff>
          <xdr:row>90</xdr:row>
          <xdr:rowOff>0</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Click here to create a SPECIFICATION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137160</xdr:colOff>
          <xdr:row>90</xdr:row>
          <xdr:rowOff>0</xdr:rowOff>
        </xdr:from>
        <xdr:to>
          <xdr:col>5</xdr:col>
          <xdr:colOff>2316480</xdr:colOff>
          <xdr:row>90</xdr:row>
          <xdr:rowOff>0</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Click here to create a GUIDELINE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571500</xdr:colOff>
          <xdr:row>1</xdr:row>
          <xdr:rowOff>60960</xdr:rowOff>
        </xdr:from>
        <xdr:to>
          <xdr:col>7</xdr:col>
          <xdr:colOff>1935480</xdr:colOff>
          <xdr:row>1</xdr:row>
          <xdr:rowOff>335280</xdr:rowOff>
        </xdr:to>
        <xdr:sp macro="" textlink="">
          <xdr:nvSpPr>
            <xdr:cNvPr id="6151" name="Button 7" hidden="1">
              <a:extLst>
                <a:ext uri="{63B3BB69-23CF-44E3-9099-C40C66FF867C}">
                  <a14:compatExt spid="_x0000_s61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UPDATE Master Data</a:t>
              </a:r>
            </a:p>
          </xdr:txBody>
        </xdr:sp>
        <xdr:clientData fPrintsWithSheet="0"/>
      </xdr:twoCellAnchor>
    </mc:Choice>
    <mc:Fallback/>
  </mc:AlternateContent>
  <xdr:oneCellAnchor>
    <xdr:from>
      <xdr:col>2</xdr:col>
      <xdr:colOff>0</xdr:colOff>
      <xdr:row>18</xdr:row>
      <xdr:rowOff>0</xdr:rowOff>
    </xdr:from>
    <xdr:ext cx="179363" cy="162560"/>
    <xdr:pic>
      <xdr:nvPicPr>
        <xdr:cNvPr id="31" name="Picture 30"/>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486025" y="18030825"/>
          <a:ext cx="179363" cy="1625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oneCellAnchor>
  <xdr:oneCellAnchor>
    <xdr:from>
      <xdr:col>2</xdr:col>
      <xdr:colOff>0</xdr:colOff>
      <xdr:row>43</xdr:row>
      <xdr:rowOff>180975</xdr:rowOff>
    </xdr:from>
    <xdr:ext cx="179363" cy="170180"/>
    <xdr:pic>
      <xdr:nvPicPr>
        <xdr:cNvPr id="33" name="Picture 32"/>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850" t="31066" r="53384" b="66090"/>
        <a:stretch/>
      </xdr:blipFill>
      <xdr:spPr bwMode="auto">
        <a:xfrm>
          <a:off x="2486025" y="1895475"/>
          <a:ext cx="179363" cy="17018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oneCellAnchor>
  <mc:AlternateContent xmlns:mc="http://schemas.openxmlformats.org/markup-compatibility/2006">
    <mc:Choice xmlns:a14="http://schemas.microsoft.com/office/drawing/2010/main" Requires="a14">
      <xdr:twoCellAnchor>
        <xdr:from>
          <xdr:col>7</xdr:col>
          <xdr:colOff>571500</xdr:colOff>
          <xdr:row>1</xdr:row>
          <xdr:rowOff>609600</xdr:rowOff>
        </xdr:from>
        <xdr:to>
          <xdr:col>7</xdr:col>
          <xdr:colOff>1935480</xdr:colOff>
          <xdr:row>2</xdr:row>
          <xdr:rowOff>266700</xdr:rowOff>
        </xdr:to>
        <xdr:sp macro="" textlink="">
          <xdr:nvSpPr>
            <xdr:cNvPr id="6152" name="Button 8" hidden="1">
              <a:extLst>
                <a:ext uri="{63B3BB69-23CF-44E3-9099-C40C66FF867C}">
                  <a14:compatExt spid="_x0000_s61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Load Attributes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ry2be/001%20Try2Be/002%20Clients/013%20IHG%20Brand%20Standards/024%20DD%20Understanding/Standards%20IMPACT%20ASSESSMENT%200.3%20EM%20DON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Impact Assessment"/>
      <sheetName val="Drop Down"/>
      <sheetName val="Sheet3"/>
      <sheetName val="QUICK"/>
      <sheetName val="Drop Downs"/>
    </sheetNames>
    <sheetDataSet>
      <sheetData sheetId="0" refreshError="1"/>
      <sheetData sheetId="1" refreshError="1"/>
      <sheetData sheetId="2">
        <row r="7">
          <cell r="A7" t="str">
            <v>Standard</v>
          </cell>
        </row>
        <row r="8">
          <cell r="A8" t="str">
            <v xml:space="preserve">     Specification</v>
          </cell>
        </row>
        <row r="9">
          <cell r="A9" t="str">
            <v xml:space="preserve">     Recommendation</v>
          </cell>
        </row>
      </sheetData>
      <sheetData sheetId="3" refreshError="1"/>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 TargetMode="External"/><Relationship Id="rId7" Type="http://schemas.openxmlformats.org/officeDocument/2006/relationships/printerSettings" Target="../printerSettings/printerSettings2.bin"/><Relationship Id="rId2" Type="http://schemas.openxmlformats.org/officeDocument/2006/relationships/hyperlink" Target="http://www./" TargetMode="External"/><Relationship Id="rId1" Type="http://schemas.openxmlformats.org/officeDocument/2006/relationships/hyperlink" Target="http://www./" TargetMode="External"/><Relationship Id="rId6" Type="http://schemas.openxmlformats.org/officeDocument/2006/relationships/hyperlink" Target="http://www./" TargetMode="External"/><Relationship Id="rId5" Type="http://schemas.openxmlformats.org/officeDocument/2006/relationships/hyperlink" Target="http://www./" TargetMode="External"/><Relationship Id="rId4" Type="http://schemas.openxmlformats.org/officeDocument/2006/relationships/hyperlink" Target="http://www./" TargetMode="External"/></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hyperlink" Target="http://www./" TargetMode="External"/><Relationship Id="rId7" Type="http://schemas.openxmlformats.org/officeDocument/2006/relationships/printerSettings" Target="../printerSettings/printerSettings3.bin"/><Relationship Id="rId2" Type="http://schemas.openxmlformats.org/officeDocument/2006/relationships/hyperlink" Target="http://www./" TargetMode="External"/><Relationship Id="rId1" Type="http://schemas.openxmlformats.org/officeDocument/2006/relationships/hyperlink" Target="http://www./" TargetMode="External"/><Relationship Id="rId6" Type="http://schemas.openxmlformats.org/officeDocument/2006/relationships/hyperlink" Target="http://www./" TargetMode="External"/><Relationship Id="rId5" Type="http://schemas.openxmlformats.org/officeDocument/2006/relationships/hyperlink" Target="http://www./" TargetMode="External"/><Relationship Id="rId4" Type="http://schemas.openxmlformats.org/officeDocument/2006/relationships/hyperlink" Target="http://www./"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Z3"/>
  <sheetViews>
    <sheetView tabSelected="1" workbookViewId="0">
      <pane ySplit="3" topLeftCell="A4" activePane="bottomLeft" state="frozen"/>
      <selection pane="bottomLeft"/>
    </sheetView>
  </sheetViews>
  <sheetFormatPr defaultColWidth="8.88671875" defaultRowHeight="14.4" x14ac:dyDescent="0.3"/>
  <cols>
    <col min="1" max="1" width="8.44140625" style="150" bestFit="1" customWidth="1"/>
    <col min="2" max="2" width="6.109375" style="152" bestFit="1" customWidth="1"/>
    <col min="3" max="3" width="13.44140625" style="150" bestFit="1" customWidth="1"/>
    <col min="4" max="4" width="82" style="150" customWidth="1"/>
    <col min="5" max="5" width="21.6640625" style="150" customWidth="1"/>
    <col min="6" max="6" width="6.109375" style="166" bestFit="1" customWidth="1"/>
    <col min="7" max="7" width="35.33203125" style="166" bestFit="1" customWidth="1"/>
    <col min="8" max="13" width="6.33203125" style="150" customWidth="1"/>
    <col min="14" max="14" width="6" style="150" customWidth="1"/>
    <col min="15" max="19" width="6.109375" style="150" customWidth="1"/>
    <col min="20" max="20" width="6" style="150" customWidth="1"/>
    <col min="21" max="21" width="6.33203125" style="150" customWidth="1"/>
    <col min="22" max="40" width="6.109375" style="150" customWidth="1"/>
    <col min="41" max="60" width="6" style="150" customWidth="1"/>
    <col min="61" max="78" width="6.33203125" style="150" customWidth="1"/>
    <col min="79" max="16384" width="8.88671875" style="150"/>
  </cols>
  <sheetData>
    <row r="1" spans="1:78" s="151" customFormat="1" ht="33" hidden="1" customHeight="1" x14ac:dyDescent="0.2">
      <c r="A1" s="151" t="s">
        <v>476</v>
      </c>
      <c r="B1" s="167" t="str">
        <f>MID(ADDRESS(ROW(B1), COLUMN(B1)),2,1)</f>
        <v>B</v>
      </c>
      <c r="C1" s="167" t="str">
        <f t="shared" ref="C1:G1" si="0">MID(ADDRESS(ROW(C1), COLUMN(C1)),2,1)</f>
        <v>C</v>
      </c>
      <c r="D1" s="167" t="str">
        <f t="shared" si="0"/>
        <v>D</v>
      </c>
      <c r="E1" s="167" t="str">
        <f t="shared" si="0"/>
        <v>E</v>
      </c>
      <c r="F1" s="167" t="str">
        <f t="shared" si="0"/>
        <v>F</v>
      </c>
      <c r="G1" s="167" t="str">
        <f t="shared" si="0"/>
        <v>G</v>
      </c>
      <c r="H1" s="153"/>
      <c r="I1" s="153" t="str">
        <f>MID(ADDRESS(ROW(I1), COLUMN(I1)),2,2)</f>
        <v>I$</v>
      </c>
      <c r="J1" s="153" t="str">
        <f t="shared" ref="J1:M1" si="1">MID(ADDRESS(ROW(J1), COLUMN(J1)),2,2)</f>
        <v>J$</v>
      </c>
      <c r="K1" s="153" t="str">
        <f t="shared" si="1"/>
        <v>K$</v>
      </c>
      <c r="L1" s="153" t="str">
        <f t="shared" si="1"/>
        <v>L$</v>
      </c>
      <c r="M1" s="153" t="str">
        <f t="shared" si="1"/>
        <v>M$</v>
      </c>
      <c r="N1" s="166"/>
      <c r="O1" s="153" t="str">
        <f t="shared" ref="O1:T1" si="2">MID(ADDRESS(ROW(O1), COLUMN(O1)),2,2)</f>
        <v>O$</v>
      </c>
      <c r="P1" s="153" t="str">
        <f t="shared" si="2"/>
        <v>P$</v>
      </c>
      <c r="Q1" s="153" t="str">
        <f t="shared" si="2"/>
        <v>Q$</v>
      </c>
      <c r="R1" s="153" t="str">
        <f t="shared" si="2"/>
        <v>R$</v>
      </c>
      <c r="S1" s="153" t="str">
        <f t="shared" si="2"/>
        <v>S$</v>
      </c>
      <c r="T1" s="153" t="str">
        <f t="shared" si="2"/>
        <v>T$</v>
      </c>
      <c r="U1" s="153"/>
      <c r="V1" s="153" t="str">
        <f t="shared" ref="V1:BG1" si="3">MID(ADDRESS(ROW(V1), COLUMN(V1)),2,2)</f>
        <v>V$</v>
      </c>
      <c r="W1" s="153" t="str">
        <f t="shared" si="3"/>
        <v>W$</v>
      </c>
      <c r="X1" s="153" t="str">
        <f t="shared" si="3"/>
        <v>X$</v>
      </c>
      <c r="Y1" s="153" t="str">
        <f t="shared" si="3"/>
        <v>Y$</v>
      </c>
      <c r="Z1" s="153" t="str">
        <f t="shared" si="3"/>
        <v>Z$</v>
      </c>
      <c r="AA1" s="153" t="str">
        <f t="shared" si="3"/>
        <v>AA</v>
      </c>
      <c r="AB1" s="153" t="str">
        <f t="shared" si="3"/>
        <v>AB</v>
      </c>
      <c r="AC1" s="153" t="str">
        <f t="shared" si="3"/>
        <v>AC</v>
      </c>
      <c r="AD1" s="153" t="str">
        <f t="shared" si="3"/>
        <v>AD</v>
      </c>
      <c r="AE1" s="153" t="str">
        <f t="shared" si="3"/>
        <v>AE</v>
      </c>
      <c r="AF1" s="153" t="str">
        <f t="shared" si="3"/>
        <v>AF</v>
      </c>
      <c r="AG1" s="153" t="str">
        <f t="shared" si="3"/>
        <v>AG</v>
      </c>
      <c r="AH1" s="153" t="str">
        <f t="shared" si="3"/>
        <v>AH</v>
      </c>
      <c r="AI1" s="153" t="str">
        <f t="shared" si="3"/>
        <v>AI</v>
      </c>
      <c r="AJ1" s="153" t="str">
        <f t="shared" si="3"/>
        <v>AJ</v>
      </c>
      <c r="AK1" s="153" t="str">
        <f t="shared" si="3"/>
        <v>AK</v>
      </c>
      <c r="AL1" s="153" t="str">
        <f t="shared" si="3"/>
        <v>AL</v>
      </c>
      <c r="AM1" s="153" t="str">
        <f t="shared" si="3"/>
        <v>AM</v>
      </c>
      <c r="AN1" s="153" t="str">
        <f t="shared" si="3"/>
        <v>AN</v>
      </c>
      <c r="AO1" s="153" t="str">
        <f t="shared" si="3"/>
        <v>AO</v>
      </c>
      <c r="AP1" s="153" t="str">
        <f t="shared" si="3"/>
        <v>AP</v>
      </c>
      <c r="AQ1" s="153" t="str">
        <f t="shared" si="3"/>
        <v>AQ</v>
      </c>
      <c r="AR1" s="153" t="str">
        <f t="shared" si="3"/>
        <v>AR</v>
      </c>
      <c r="AS1" s="153" t="str">
        <f t="shared" si="3"/>
        <v>AS</v>
      </c>
      <c r="AT1" s="153" t="str">
        <f t="shared" si="3"/>
        <v>AT</v>
      </c>
      <c r="AU1" s="153" t="str">
        <f t="shared" si="3"/>
        <v>AU</v>
      </c>
      <c r="AV1" s="153" t="str">
        <f t="shared" si="3"/>
        <v>AV</v>
      </c>
      <c r="AW1" s="153" t="str">
        <f t="shared" si="3"/>
        <v>AW</v>
      </c>
      <c r="AX1" s="153" t="str">
        <f t="shared" si="3"/>
        <v>AX</v>
      </c>
      <c r="AY1" s="153" t="str">
        <f t="shared" si="3"/>
        <v>AY</v>
      </c>
      <c r="AZ1" s="153" t="str">
        <f t="shared" si="3"/>
        <v>AZ</v>
      </c>
      <c r="BA1" s="153" t="str">
        <f t="shared" si="3"/>
        <v>BA</v>
      </c>
      <c r="BB1" s="153" t="str">
        <f t="shared" si="3"/>
        <v>BB</v>
      </c>
      <c r="BC1" s="153" t="str">
        <f t="shared" si="3"/>
        <v>BC</v>
      </c>
      <c r="BD1" s="153" t="str">
        <f t="shared" si="3"/>
        <v>BD</v>
      </c>
      <c r="BE1" s="153" t="str">
        <f t="shared" si="3"/>
        <v>BE</v>
      </c>
      <c r="BF1" s="153" t="str">
        <f t="shared" si="3"/>
        <v>BF</v>
      </c>
      <c r="BG1" s="153" t="str">
        <f t="shared" si="3"/>
        <v>BG</v>
      </c>
      <c r="BH1" s="153" t="str">
        <f t="shared" ref="BH1:BZ1" si="4">MID(ADDRESS(ROW(BH1), COLUMN(BH1)),2,2)</f>
        <v>BH</v>
      </c>
      <c r="BI1" s="153" t="str">
        <f t="shared" si="4"/>
        <v>BI</v>
      </c>
      <c r="BJ1" s="153" t="str">
        <f t="shared" si="4"/>
        <v>BJ</v>
      </c>
      <c r="BK1" s="153" t="str">
        <f t="shared" si="4"/>
        <v>BK</v>
      </c>
      <c r="BL1" s="153" t="str">
        <f t="shared" si="4"/>
        <v>BL</v>
      </c>
      <c r="BM1" s="153" t="str">
        <f t="shared" si="4"/>
        <v>BM</v>
      </c>
      <c r="BN1" s="153" t="str">
        <f t="shared" si="4"/>
        <v>BN</v>
      </c>
      <c r="BO1" s="153" t="str">
        <f t="shared" si="4"/>
        <v>BO</v>
      </c>
      <c r="BP1" s="153" t="str">
        <f t="shared" si="4"/>
        <v>BP</v>
      </c>
      <c r="BQ1" s="153" t="str">
        <f t="shared" si="4"/>
        <v>BQ</v>
      </c>
      <c r="BR1" s="153" t="str">
        <f t="shared" si="4"/>
        <v>BR</v>
      </c>
      <c r="BS1" s="153" t="str">
        <f t="shared" si="4"/>
        <v>BS</v>
      </c>
      <c r="BT1" s="153" t="str">
        <f t="shared" si="4"/>
        <v>BT</v>
      </c>
      <c r="BU1" s="153" t="str">
        <f t="shared" si="4"/>
        <v>BU</v>
      </c>
      <c r="BV1" s="153" t="str">
        <f t="shared" si="4"/>
        <v>BV</v>
      </c>
      <c r="BW1" s="153" t="str">
        <f t="shared" si="4"/>
        <v>BW</v>
      </c>
      <c r="BX1" s="153" t="str">
        <f t="shared" si="4"/>
        <v>BX</v>
      </c>
      <c r="BY1" s="153" t="str">
        <f t="shared" si="4"/>
        <v>BY</v>
      </c>
      <c r="BZ1" s="153" t="str">
        <f t="shared" si="4"/>
        <v>BZ</v>
      </c>
    </row>
    <row r="2" spans="1:78" s="153" customFormat="1" ht="12" hidden="1" x14ac:dyDescent="0.2">
      <c r="A2" s="153" t="s">
        <v>445</v>
      </c>
      <c r="B2" s="170"/>
      <c r="C2" s="171"/>
      <c r="D2" s="171"/>
      <c r="E2" s="171"/>
      <c r="F2" s="171"/>
      <c r="G2" s="171"/>
      <c r="H2" s="168"/>
      <c r="I2" s="168" t="str">
        <f ca="1">'Multi Attributes Input'!R27</f>
        <v>$C$27</v>
      </c>
      <c r="J2" s="168" t="str">
        <f ca="1">'Multi Attributes Input'!T27</f>
        <v>$E$27</v>
      </c>
      <c r="K2" s="168" t="str">
        <f ca="1">'Multi Attributes Input'!V27</f>
        <v>$G$27</v>
      </c>
      <c r="L2" s="168" t="str">
        <f ca="1">'Multi Attributes Input'!R29</f>
        <v>$C$29</v>
      </c>
      <c r="M2" s="168" t="str">
        <f ca="1">'Multi Attributes Input'!T29</f>
        <v>$E$29</v>
      </c>
      <c r="N2" s="169"/>
      <c r="O2" s="168" t="str">
        <f ca="1">'Multi Attributes Input'!R40</f>
        <v>$C$40</v>
      </c>
      <c r="P2" s="168" t="str">
        <f ca="1">'Multi Attributes Input'!R42</f>
        <v>$C$42</v>
      </c>
      <c r="Q2" s="168" t="str">
        <f ca="1">'Multi Attributes Input'!T40</f>
        <v>$E$40</v>
      </c>
      <c r="R2" s="168" t="str">
        <f ca="1">'Multi Attributes Input'!T42</f>
        <v>$E$42</v>
      </c>
      <c r="S2" s="168" t="str">
        <f ca="1">'Multi Attributes Input'!V40</f>
        <v>$G$40</v>
      </c>
      <c r="T2" s="168" t="str">
        <f ca="1">'Multi Attributes Input'!V42</f>
        <v>$G$42</v>
      </c>
      <c r="U2" s="168"/>
      <c r="V2" s="168" t="str">
        <f ca="1">'Multi Attributes Input'!R53</f>
        <v>$C$53</v>
      </c>
      <c r="W2" s="168" t="str">
        <f ca="1">'Multi Attributes Input'!R55</f>
        <v>$C$55</v>
      </c>
      <c r="X2" s="168" t="str">
        <f ca="1">'Multi Attributes Input'!R57</f>
        <v>$C$57</v>
      </c>
      <c r="Y2" s="168" t="str">
        <f ca="1">'Multi Attributes Input'!R59</f>
        <v>$C$59</v>
      </c>
      <c r="Z2" s="168" t="str">
        <f ca="1">'Multi Attributes Input'!R61</f>
        <v>$C$61</v>
      </c>
      <c r="AA2" s="168" t="str">
        <f ca="1">'Multi Attributes Input'!R63</f>
        <v>$C$63</v>
      </c>
      <c r="AB2" s="168" t="str">
        <f ca="1">'Multi Attributes Input'!R65</f>
        <v>$C$65</v>
      </c>
      <c r="AC2" s="168" t="str">
        <f ca="1">'Multi Attributes Input'!R67</f>
        <v>$C$67</v>
      </c>
      <c r="AD2" s="168" t="str">
        <f ca="1">'Multi Attributes Input'!R69</f>
        <v>$C$69</v>
      </c>
      <c r="AE2" s="168" t="str">
        <f ca="1">'Multi Attributes Input'!R71</f>
        <v>$C$71</v>
      </c>
      <c r="AF2" s="168" t="str">
        <f ca="1">'Multi Attributes Input'!R73</f>
        <v>$C$73</v>
      </c>
      <c r="AG2" s="168" t="str">
        <f ca="1">'Multi Attributes Input'!R75</f>
        <v>$C$75</v>
      </c>
      <c r="AH2" s="168" t="str">
        <f ca="1">'Multi Attributes Input'!R77</f>
        <v>$C$77</v>
      </c>
      <c r="AI2" s="168" t="str">
        <f ca="1">'Multi Attributes Input'!R79</f>
        <v>$C$79</v>
      </c>
      <c r="AJ2" s="168" t="str">
        <f ca="1">'Multi Attributes Input'!R81</f>
        <v>$C$81</v>
      </c>
      <c r="AK2" s="168" t="str">
        <f ca="1">'Multi Attributes Input'!R83</f>
        <v>$C$83</v>
      </c>
      <c r="AL2" s="168" t="str">
        <f ca="1">'Multi Attributes Input'!R85</f>
        <v>$C$85</v>
      </c>
      <c r="AM2" s="168" t="str">
        <f ca="1">'Multi Attributes Input'!R87</f>
        <v>$C$87</v>
      </c>
      <c r="AN2" s="168" t="str">
        <f ca="1">'Multi Attributes Input'!R89</f>
        <v>$C$89</v>
      </c>
      <c r="AO2" s="168" t="str">
        <f ca="1">'Multi Attributes Input'!T53</f>
        <v>$E$53</v>
      </c>
      <c r="AP2" s="168" t="str">
        <f ca="1">'Multi Attributes Input'!T55</f>
        <v>$E$55</v>
      </c>
      <c r="AQ2" s="168" t="str">
        <f ca="1">'Multi Attributes Input'!T57</f>
        <v>$E$57</v>
      </c>
      <c r="AR2" s="168" t="str">
        <f ca="1">'Multi Attributes Input'!T59</f>
        <v>$E$59</v>
      </c>
      <c r="AS2" s="168" t="str">
        <f ca="1">'Multi Attributes Input'!T61</f>
        <v>$E$61</v>
      </c>
      <c r="AT2" s="168" t="str">
        <f ca="1">'Multi Attributes Input'!T63</f>
        <v>$E$63</v>
      </c>
      <c r="AU2" s="168" t="str">
        <f ca="1">'Multi Attributes Input'!T65</f>
        <v>$E$65</v>
      </c>
      <c r="AV2" s="168" t="str">
        <f ca="1">'Multi Attributes Input'!T67</f>
        <v>$E$67</v>
      </c>
      <c r="AW2" s="168" t="str">
        <f ca="1">'Multi Attributes Input'!T69</f>
        <v>$E$69</v>
      </c>
      <c r="AX2" s="168" t="str">
        <f ca="1">'Multi Attributes Input'!T71</f>
        <v>$E$71</v>
      </c>
      <c r="AY2" s="168" t="str">
        <f ca="1">'Multi Attributes Input'!T73</f>
        <v>$E$73</v>
      </c>
      <c r="AZ2" s="168" t="str">
        <f ca="1">'Multi Attributes Input'!T75</f>
        <v>$E$75</v>
      </c>
      <c r="BA2" s="168" t="str">
        <f ca="1">'Multi Attributes Input'!T77</f>
        <v>$E$77</v>
      </c>
      <c r="BB2" s="168" t="str">
        <f ca="1">'Multi Attributes Input'!T79</f>
        <v>$E$79</v>
      </c>
      <c r="BC2" s="168" t="str">
        <f ca="1">'Multi Attributes Input'!T81</f>
        <v>$E$81</v>
      </c>
      <c r="BD2" s="168" t="str">
        <f ca="1">'Multi Attributes Input'!T83</f>
        <v>$E$83</v>
      </c>
      <c r="BE2" s="168" t="str">
        <f ca="1">'Multi Attributes Input'!T85</f>
        <v>$E$85</v>
      </c>
      <c r="BF2" s="168" t="str">
        <f ca="1">'Multi Attributes Input'!T87</f>
        <v>$E$87</v>
      </c>
      <c r="BG2" s="168" t="str">
        <f ca="1">'Multi Attributes Input'!T89</f>
        <v>$E$89</v>
      </c>
      <c r="BH2" s="168" t="str">
        <f ca="1">'Multi Attributes Input'!V53</f>
        <v>$G$53</v>
      </c>
      <c r="BI2" s="168" t="str">
        <f ca="1">'Multi Attributes Input'!V55</f>
        <v>$G$55</v>
      </c>
      <c r="BJ2" s="168" t="str">
        <f ca="1">'Multi Attributes Input'!V57</f>
        <v>$G$57</v>
      </c>
      <c r="BK2" s="168" t="str">
        <f ca="1">'Multi Attributes Input'!V59</f>
        <v>$G$59</v>
      </c>
      <c r="BL2" s="168" t="str">
        <f ca="1">'Multi Attributes Input'!V61</f>
        <v>$G$61</v>
      </c>
      <c r="BM2" s="168" t="str">
        <f ca="1">'Multi Attributes Input'!V63</f>
        <v>$G$63</v>
      </c>
      <c r="BN2" s="168" t="str">
        <f ca="1">'Multi Attributes Input'!V65</f>
        <v>$G$65</v>
      </c>
      <c r="BO2" s="168" t="str">
        <f ca="1">'Multi Attributes Input'!V67</f>
        <v>$G$67</v>
      </c>
      <c r="BP2" s="168" t="str">
        <f ca="1">'Multi Attributes Input'!V69</f>
        <v>$G$69</v>
      </c>
      <c r="BQ2" s="168" t="str">
        <f ca="1">'Multi Attributes Input'!V71</f>
        <v>$G$71</v>
      </c>
      <c r="BR2" s="168" t="str">
        <f ca="1">'Multi Attributes Input'!V73</f>
        <v>$G$73</v>
      </c>
      <c r="BS2" s="168" t="str">
        <f ca="1">'Multi Attributes Input'!V75</f>
        <v>$G$75</v>
      </c>
      <c r="BT2" s="168" t="str">
        <f ca="1">'Multi Attributes Input'!V77</f>
        <v>$G$77</v>
      </c>
      <c r="BU2" s="168" t="str">
        <f ca="1">'Multi Attributes Input'!V79</f>
        <v>$G$79</v>
      </c>
      <c r="BV2" s="168" t="str">
        <f ca="1">'Multi Attributes Input'!V81</f>
        <v>$G$81</v>
      </c>
      <c r="BW2" s="168" t="str">
        <f ca="1">'Multi Attributes Input'!V83</f>
        <v>$G$83</v>
      </c>
      <c r="BX2" s="168" t="str">
        <f ca="1">'Multi Attributes Input'!V85</f>
        <v>$G$85</v>
      </c>
      <c r="BY2" s="168" t="str">
        <f ca="1">'Multi Attributes Input'!V87</f>
        <v>$G$87</v>
      </c>
      <c r="BZ2" s="168" t="str">
        <f ca="1">'Multi Attributes Input'!V89</f>
        <v>$G$89</v>
      </c>
    </row>
    <row r="3" spans="1:78" ht="91.5" customHeight="1" x14ac:dyDescent="0.3">
      <c r="A3" s="152" t="s">
        <v>444</v>
      </c>
      <c r="B3" s="152" t="s">
        <v>454</v>
      </c>
      <c r="C3" s="152" t="s">
        <v>415</v>
      </c>
      <c r="D3" s="152" t="s">
        <v>393</v>
      </c>
      <c r="E3" s="152" t="s">
        <v>394</v>
      </c>
      <c r="F3" s="166" t="s">
        <v>453</v>
      </c>
      <c r="G3" s="166" t="s">
        <v>395</v>
      </c>
      <c r="H3" s="175" t="s">
        <v>456</v>
      </c>
      <c r="I3" s="163" t="s">
        <v>469</v>
      </c>
      <c r="J3" s="163" t="s">
        <v>457</v>
      </c>
      <c r="K3" s="163" t="s">
        <v>470</v>
      </c>
      <c r="L3" s="163" t="s">
        <v>392</v>
      </c>
      <c r="M3" s="163" t="s">
        <v>471</v>
      </c>
      <c r="N3" s="175" t="s">
        <v>459</v>
      </c>
      <c r="O3" s="177" t="s">
        <v>455</v>
      </c>
      <c r="P3" s="177" t="s">
        <v>460</v>
      </c>
      <c r="Q3" s="177" t="s">
        <v>461</v>
      </c>
      <c r="R3" s="177" t="s">
        <v>462</v>
      </c>
      <c r="S3" s="177" t="s">
        <v>298</v>
      </c>
      <c r="T3" s="177" t="s">
        <v>463</v>
      </c>
      <c r="U3" s="175" t="s">
        <v>464</v>
      </c>
      <c r="V3" s="163" t="s">
        <v>197</v>
      </c>
      <c r="W3" s="163" t="s">
        <v>198</v>
      </c>
      <c r="X3" s="163" t="s">
        <v>199</v>
      </c>
      <c r="Y3" s="163" t="s">
        <v>200</v>
      </c>
      <c r="Z3" s="163" t="s">
        <v>201</v>
      </c>
      <c r="AA3" s="163" t="s">
        <v>202</v>
      </c>
      <c r="AB3" s="163" t="s">
        <v>203</v>
      </c>
      <c r="AC3" s="163" t="s">
        <v>204</v>
      </c>
      <c r="AD3" s="163" t="s">
        <v>205</v>
      </c>
      <c r="AE3" s="163" t="s">
        <v>206</v>
      </c>
      <c r="AF3" s="163" t="s">
        <v>207</v>
      </c>
      <c r="AG3" s="163" t="s">
        <v>208</v>
      </c>
      <c r="AH3" s="163" t="s">
        <v>209</v>
      </c>
      <c r="AI3" s="163" t="s">
        <v>210</v>
      </c>
      <c r="AJ3" s="163" t="s">
        <v>211</v>
      </c>
      <c r="AK3" s="163" t="s">
        <v>212</v>
      </c>
      <c r="AL3" s="163" t="s">
        <v>213</v>
      </c>
      <c r="AM3" s="163" t="s">
        <v>214</v>
      </c>
      <c r="AN3" s="163" t="s">
        <v>215</v>
      </c>
      <c r="AO3" s="163" t="s">
        <v>216</v>
      </c>
      <c r="AP3" s="163" t="s">
        <v>217</v>
      </c>
      <c r="AQ3" s="163" t="s">
        <v>218</v>
      </c>
      <c r="AR3" s="163" t="s">
        <v>473</v>
      </c>
      <c r="AS3" s="163" t="s">
        <v>219</v>
      </c>
      <c r="AT3" s="163" t="s">
        <v>220</v>
      </c>
      <c r="AU3" s="163" t="s">
        <v>221</v>
      </c>
      <c r="AV3" s="163" t="s">
        <v>222</v>
      </c>
      <c r="AW3" s="163" t="s">
        <v>223</v>
      </c>
      <c r="AX3" s="163" t="s">
        <v>472</v>
      </c>
      <c r="AY3" s="163" t="s">
        <v>225</v>
      </c>
      <c r="AZ3" s="163" t="s">
        <v>226</v>
      </c>
      <c r="BA3" s="163" t="s">
        <v>227</v>
      </c>
      <c r="BB3" s="163" t="s">
        <v>228</v>
      </c>
      <c r="BC3" s="163" t="s">
        <v>229</v>
      </c>
      <c r="BD3" s="163" t="s">
        <v>230</v>
      </c>
      <c r="BE3" s="163" t="s">
        <v>231</v>
      </c>
      <c r="BF3" s="163" t="s">
        <v>232</v>
      </c>
      <c r="BG3" s="163" t="s">
        <v>233</v>
      </c>
      <c r="BH3" s="163" t="s">
        <v>234</v>
      </c>
      <c r="BI3" s="163" t="s">
        <v>235</v>
      </c>
      <c r="BJ3" s="163" t="s">
        <v>236</v>
      </c>
      <c r="BK3" s="163" t="s">
        <v>237</v>
      </c>
      <c r="BL3" s="163" t="s">
        <v>238</v>
      </c>
      <c r="BM3" s="163" t="s">
        <v>158</v>
      </c>
      <c r="BN3" s="163" t="s">
        <v>239</v>
      </c>
      <c r="BO3" s="163" t="s">
        <v>240</v>
      </c>
      <c r="BP3" s="163" t="s">
        <v>241</v>
      </c>
      <c r="BQ3" s="163" t="s">
        <v>242</v>
      </c>
      <c r="BR3" s="163" t="s">
        <v>243</v>
      </c>
      <c r="BS3" s="163" t="s">
        <v>244</v>
      </c>
      <c r="BT3" s="163" t="s">
        <v>245</v>
      </c>
      <c r="BU3" s="163" t="s">
        <v>246</v>
      </c>
      <c r="BV3" s="163" t="s">
        <v>247</v>
      </c>
      <c r="BW3" s="163" t="s">
        <v>248</v>
      </c>
      <c r="BX3" s="163" t="s">
        <v>249</v>
      </c>
      <c r="BY3" s="163" t="s">
        <v>250</v>
      </c>
      <c r="BZ3" s="163" t="s">
        <v>251</v>
      </c>
    </row>
  </sheetData>
  <sheetProtection sheet="1" objects="1" scenarios="1" selectLockedCells="1"/>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Q650"/>
  <sheetViews>
    <sheetView showGridLines="0" workbookViewId="0">
      <pane ySplit="5" topLeftCell="A31" activePane="bottomLeft" state="frozen"/>
      <selection pane="bottomLeft" activeCell="C35" sqref="C35"/>
    </sheetView>
  </sheetViews>
  <sheetFormatPr defaultColWidth="8.88671875" defaultRowHeight="14.4" x14ac:dyDescent="0.3"/>
  <cols>
    <col min="1" max="1" width="4.6640625" style="6" customWidth="1"/>
    <col min="2" max="2" width="24.33203125" style="6" customWidth="1"/>
    <col min="3" max="3" width="4.6640625" style="6" customWidth="1"/>
    <col min="4" max="4" width="35.6640625" style="6" customWidth="1"/>
    <col min="5" max="5" width="4.6640625" style="6" customWidth="1"/>
    <col min="6" max="6" width="35.6640625" style="6" customWidth="1"/>
    <col min="7" max="7" width="4.6640625" style="6" customWidth="1"/>
    <col min="8" max="8" width="35.6640625" style="6" customWidth="1"/>
    <col min="9" max="9" width="8.88671875" style="6" customWidth="1"/>
    <col min="10" max="10" width="35.6640625" style="6" hidden="1" customWidth="1"/>
    <col min="11" max="13" width="8.88671875" style="6" hidden="1" customWidth="1"/>
    <col min="14" max="16384" width="8.88671875" style="6"/>
  </cols>
  <sheetData>
    <row r="1" spans="1:17" ht="6" customHeight="1" thickBot="1" x14ac:dyDescent="0.3">
      <c r="M1" s="6">
        <f>COUNTIF(M2:M391,"STOP")</f>
        <v>9</v>
      </c>
    </row>
    <row r="2" spans="1:17" ht="31.95" customHeight="1" thickTop="1" thickBot="1" x14ac:dyDescent="0.4">
      <c r="A2" s="106" t="s">
        <v>380</v>
      </c>
      <c r="D2" s="7"/>
      <c r="E2" s="7"/>
      <c r="F2" s="194"/>
      <c r="G2" s="194"/>
      <c r="H2" s="148" t="s">
        <v>390</v>
      </c>
      <c r="J2" s="146" t="str">
        <f>IF(ISBLANK(H2),"STOP","")</f>
        <v/>
      </c>
      <c r="M2" s="6" t="str">
        <f>J2</f>
        <v/>
      </c>
    </row>
    <row r="3" spans="1:17" ht="7.2" customHeight="1" thickTop="1" x14ac:dyDescent="0.25"/>
    <row r="4" spans="1:17" ht="27" customHeight="1" x14ac:dyDescent="0.25">
      <c r="B4" s="88" t="s">
        <v>381</v>
      </c>
      <c r="C4" s="8"/>
      <c r="D4" s="187"/>
      <c r="E4" s="188"/>
      <c r="F4" s="188"/>
      <c r="G4" s="188"/>
      <c r="H4" s="189"/>
      <c r="I4" s="9" t="str">
        <f>CONCATENATE(LEN(D4)," of 500 characters")</f>
        <v>0 of 500 characters</v>
      </c>
      <c r="J4" s="146" t="str">
        <f>IF(ISBLANK(D4),"STOP","")</f>
        <v>STOP</v>
      </c>
      <c r="K4" s="10"/>
      <c r="L4" s="10"/>
      <c r="M4" s="6" t="str">
        <f>J4</f>
        <v>STOP</v>
      </c>
      <c r="N4" s="10"/>
    </row>
    <row r="5" spans="1:17" ht="15.6" customHeight="1" x14ac:dyDescent="0.25">
      <c r="B5" s="89"/>
      <c r="C5" s="11"/>
      <c r="D5" s="147" t="str">
        <f>IF(M1=0,"",CONCATENATE("Note: ",M1," of 15 required fields remaining"))</f>
        <v>Note: 9 of 15 required fields remaining</v>
      </c>
    </row>
    <row r="6" spans="1:17" ht="15" x14ac:dyDescent="0.25">
      <c r="B6" s="89"/>
      <c r="C6" s="11"/>
      <c r="Q6" s="6" t="s">
        <v>320</v>
      </c>
    </row>
    <row r="7" spans="1:17" ht="194.4" customHeight="1" x14ac:dyDescent="0.25">
      <c r="B7" s="88" t="s">
        <v>0</v>
      </c>
      <c r="C7" s="8"/>
      <c r="D7" s="187"/>
      <c r="E7" s="188"/>
      <c r="F7" s="188"/>
      <c r="G7" s="188"/>
      <c r="H7" s="189"/>
      <c r="I7" s="9" t="str">
        <f>CONCATENATE(LEN(D7)," of 10,000 characters")</f>
        <v>0 of 10,000 characters</v>
      </c>
    </row>
    <row r="8" spans="1:17" ht="15" x14ac:dyDescent="0.25">
      <c r="B8" s="90"/>
    </row>
    <row r="9" spans="1:17" ht="16.5" hidden="1" thickTop="1" thickBot="1" x14ac:dyDescent="0.3">
      <c r="B9" s="88" t="s">
        <v>1</v>
      </c>
      <c r="C9" s="8"/>
      <c r="D9" s="191"/>
      <c r="E9" s="192"/>
      <c r="F9" s="193"/>
      <c r="J9" s="146"/>
    </row>
    <row r="10" spans="1:17" ht="15.75" hidden="1" thickTop="1" x14ac:dyDescent="0.25">
      <c r="B10" s="90"/>
      <c r="I10" s="12"/>
    </row>
    <row r="11" spans="1:17" ht="15" hidden="1" x14ac:dyDescent="0.25">
      <c r="B11" s="88" t="s">
        <v>342</v>
      </c>
      <c r="C11" s="13"/>
      <c r="D11" s="185"/>
      <c r="E11" s="186"/>
      <c r="F11" s="186"/>
    </row>
    <row r="12" spans="1:17" ht="15.75" hidden="1" thickBot="1" x14ac:dyDescent="0.3">
      <c r="B12" s="90"/>
    </row>
    <row r="13" spans="1:17" ht="49.95" hidden="1" customHeight="1" thickTop="1" thickBot="1" x14ac:dyDescent="0.3">
      <c r="B13" s="88" t="s">
        <v>2</v>
      </c>
      <c r="C13" s="8"/>
      <c r="D13" s="191"/>
      <c r="E13" s="192"/>
      <c r="F13" s="193"/>
    </row>
    <row r="14" spans="1:17" ht="15.75" hidden="1" thickTop="1" x14ac:dyDescent="0.25">
      <c r="B14" s="90"/>
    </row>
    <row r="15" spans="1:17" ht="49.95" hidden="1" customHeight="1" x14ac:dyDescent="0.25">
      <c r="B15" s="88" t="s">
        <v>343</v>
      </c>
      <c r="C15" s="13"/>
      <c r="D15" s="185"/>
      <c r="E15" s="186"/>
      <c r="F15" s="186"/>
      <c r="J15" s="16" t="s">
        <v>354</v>
      </c>
    </row>
    <row r="16" spans="1:17" ht="15" hidden="1" x14ac:dyDescent="0.25">
      <c r="B16" s="90"/>
    </row>
    <row r="17" spans="2:13" s="16" customFormat="1" ht="25.2" customHeight="1" x14ac:dyDescent="0.25">
      <c r="B17" s="91" t="s">
        <v>3</v>
      </c>
      <c r="C17" s="14"/>
      <c r="D17" s="15" t="s">
        <v>384</v>
      </c>
      <c r="E17" s="15"/>
      <c r="J17" s="145" t="str">
        <f>IF(COUNTIF(J19:J29,"GO")&gt;0,IF(COUNTIF(J19:J29,"GO")&gt;1,"STOP",""),"STOP")</f>
        <v>STOP</v>
      </c>
      <c r="M17" s="16" t="str">
        <f>J17</f>
        <v>STOP</v>
      </c>
    </row>
    <row r="18" spans="2:13" ht="4.95" customHeight="1" x14ac:dyDescent="0.25">
      <c r="B18" s="90"/>
    </row>
    <row r="19" spans="2:13" ht="15" x14ac:dyDescent="0.25">
      <c r="B19" s="90"/>
      <c r="C19" s="107" t="e">
        <f>#REF!</f>
        <v>#REF!</v>
      </c>
      <c r="D19" s="17" t="s">
        <v>142</v>
      </c>
      <c r="E19" s="17"/>
      <c r="J19" s="6" t="str">
        <f>IF(ISERR(FIND($J$15,C19,1)),"STOP","GO")</f>
        <v>STOP</v>
      </c>
    </row>
    <row r="20" spans="2:13" ht="4.95" customHeight="1" x14ac:dyDescent="0.25">
      <c r="B20" s="90"/>
      <c r="C20" s="116"/>
      <c r="D20" s="17"/>
      <c r="E20" s="17"/>
    </row>
    <row r="21" spans="2:13" ht="15" x14ac:dyDescent="0.25">
      <c r="B21" s="90"/>
      <c r="C21" s="107" t="e">
        <f>#REF!</f>
        <v>#REF!</v>
      </c>
      <c r="D21" s="17" t="s">
        <v>143</v>
      </c>
      <c r="E21" s="17"/>
      <c r="J21" s="6" t="str">
        <f>IF(ISERR(FIND($J$15,C21,1)),"STOP","GO")</f>
        <v>STOP</v>
      </c>
    </row>
    <row r="22" spans="2:13" ht="4.95" customHeight="1" x14ac:dyDescent="0.25">
      <c r="B22" s="90"/>
      <c r="C22" s="116"/>
      <c r="D22" s="17"/>
      <c r="E22" s="17"/>
    </row>
    <row r="23" spans="2:13" ht="15" x14ac:dyDescent="0.25">
      <c r="B23" s="90"/>
      <c r="C23" s="107" t="e">
        <f>#REF!</f>
        <v>#REF!</v>
      </c>
      <c r="D23" s="17" t="s">
        <v>144</v>
      </c>
      <c r="E23" s="17"/>
      <c r="J23" s="6" t="str">
        <f>IF(ISERR(FIND($J$15,C23,1)),"STOP","GO")</f>
        <v>STOP</v>
      </c>
    </row>
    <row r="24" spans="2:13" ht="4.95" customHeight="1" x14ac:dyDescent="0.25">
      <c r="B24" s="90"/>
      <c r="C24" s="116"/>
      <c r="D24" s="17"/>
      <c r="E24" s="17"/>
    </row>
    <row r="25" spans="2:13" ht="15" x14ac:dyDescent="0.25">
      <c r="B25" s="90"/>
      <c r="C25" s="107" t="e">
        <f>#REF!</f>
        <v>#REF!</v>
      </c>
      <c r="D25" s="17" t="s">
        <v>145</v>
      </c>
      <c r="E25" s="17"/>
      <c r="J25" s="6" t="str">
        <f>IF(ISERR(FIND($J$15,C25,1)),"STOP","GO")</f>
        <v>STOP</v>
      </c>
    </row>
    <row r="26" spans="2:13" ht="4.95" customHeight="1" x14ac:dyDescent="0.25">
      <c r="B26" s="90"/>
      <c r="C26" s="116"/>
      <c r="D26" s="17"/>
      <c r="E26" s="17"/>
    </row>
    <row r="27" spans="2:13" ht="15" x14ac:dyDescent="0.25">
      <c r="B27" s="90"/>
      <c r="C27" s="107" t="e">
        <f>#REF!</f>
        <v>#REF!</v>
      </c>
      <c r="D27" s="17" t="s">
        <v>146</v>
      </c>
      <c r="E27" s="17"/>
      <c r="J27" s="6" t="str">
        <f>IF(ISERR(FIND($J$15,C27,1)),"STOP","GO")</f>
        <v>STOP</v>
      </c>
    </row>
    <row r="28" spans="2:13" ht="4.95" customHeight="1" x14ac:dyDescent="0.25">
      <c r="B28" s="90"/>
      <c r="C28" s="116"/>
      <c r="D28" s="17"/>
      <c r="E28" s="17"/>
    </row>
    <row r="29" spans="2:13" ht="15" x14ac:dyDescent="0.25">
      <c r="B29" s="90"/>
      <c r="C29" s="107" t="e">
        <f>#REF!</f>
        <v>#REF!</v>
      </c>
      <c r="D29" s="17" t="s">
        <v>147</v>
      </c>
      <c r="E29" s="17"/>
      <c r="J29" s="6" t="str">
        <f>IF(ISERR(FIND($J$15,C29,1)),"STOP","GO")</f>
        <v>STOP</v>
      </c>
    </row>
    <row r="30" spans="2:13" ht="15" x14ac:dyDescent="0.25">
      <c r="B30" s="90"/>
    </row>
    <row r="31" spans="2:13" ht="15" x14ac:dyDescent="0.25">
      <c r="B31" s="88" t="s">
        <v>4</v>
      </c>
      <c r="C31" s="8"/>
      <c r="D31" s="187" t="e">
        <f>IF(ISBLANK(#REF!),"",#REF!)</f>
        <v>#REF!</v>
      </c>
      <c r="E31" s="188"/>
      <c r="F31" s="189"/>
      <c r="J31" s="146" t="str">
        <f>IF(ISBLANK(D31),"STOP","")</f>
        <v/>
      </c>
      <c r="M31" s="6" t="str">
        <f>J31</f>
        <v/>
      </c>
    </row>
    <row r="32" spans="2:13" ht="15" x14ac:dyDescent="0.25">
      <c r="B32" s="90"/>
    </row>
    <row r="33" spans="2:13" ht="15" x14ac:dyDescent="0.25">
      <c r="B33" s="88" t="s">
        <v>5</v>
      </c>
      <c r="C33" s="8"/>
      <c r="D33" s="15" t="s">
        <v>382</v>
      </c>
    </row>
    <row r="34" spans="2:13" ht="4.95" customHeight="1" x14ac:dyDescent="0.25">
      <c r="B34" s="88"/>
      <c r="C34" s="8"/>
    </row>
    <row r="35" spans="2:13" s="18" customFormat="1" ht="15" customHeight="1" x14ac:dyDescent="0.3">
      <c r="B35" s="92"/>
      <c r="C35" s="108" t="s">
        <v>359</v>
      </c>
      <c r="D35" s="19" t="s">
        <v>360</v>
      </c>
      <c r="E35" s="20"/>
      <c r="F35" s="21"/>
      <c r="J35" s="145" t="str">
        <f>IF(COUNTIF(J39:K51,"GO")&gt;0,"","STOP")</f>
        <v>STOP</v>
      </c>
      <c r="M35" s="18" t="str">
        <f>J35</f>
        <v>STOP</v>
      </c>
    </row>
    <row r="36" spans="2:13" s="18" customFormat="1" ht="4.95" customHeight="1" x14ac:dyDescent="0.25">
      <c r="B36" s="92"/>
      <c r="D36" s="22"/>
      <c r="E36" s="23"/>
      <c r="F36" s="24"/>
    </row>
    <row r="37" spans="2:13" s="18" customFormat="1" ht="4.95" customHeight="1" x14ac:dyDescent="0.25">
      <c r="B37" s="92"/>
      <c r="C37" s="109"/>
      <c r="D37" s="109"/>
      <c r="E37" s="109"/>
      <c r="F37" s="109"/>
    </row>
    <row r="38" spans="2:13" s="18" customFormat="1" ht="4.95" customHeight="1" x14ac:dyDescent="0.25">
      <c r="B38" s="92"/>
      <c r="D38" s="22"/>
      <c r="E38" s="23"/>
      <c r="F38" s="24"/>
    </row>
    <row r="39" spans="2:13" ht="15" customHeight="1" x14ac:dyDescent="0.3">
      <c r="B39" s="90"/>
      <c r="C39" s="107" t="s">
        <v>359</v>
      </c>
      <c r="D39" s="26" t="s">
        <v>6</v>
      </c>
      <c r="E39" s="107" t="s">
        <v>359</v>
      </c>
      <c r="F39" s="26" t="s">
        <v>13</v>
      </c>
      <c r="J39" s="6" t="str">
        <f>IF(ISERR(FIND($J$15,C39,1)),"STOP","GO")</f>
        <v>STOP</v>
      </c>
      <c r="K39" s="6" t="str">
        <f>IF(ISERR(FIND($J$15,E39,1)),"STOP","GO")</f>
        <v>STOP</v>
      </c>
    </row>
    <row r="40" spans="2:13" ht="4.95" customHeight="1" x14ac:dyDescent="0.25">
      <c r="B40" s="90"/>
      <c r="D40" s="27"/>
      <c r="F40" s="26"/>
    </row>
    <row r="41" spans="2:13" ht="15" customHeight="1" x14ac:dyDescent="0.3">
      <c r="B41" s="90"/>
      <c r="C41" s="107" t="s">
        <v>359</v>
      </c>
      <c r="D41" s="26" t="s">
        <v>7</v>
      </c>
      <c r="E41" s="107" t="s">
        <v>359</v>
      </c>
      <c r="F41" s="26" t="s">
        <v>341</v>
      </c>
      <c r="J41" s="6" t="str">
        <f t="shared" ref="J41:J49" si="0">IF(ISERR(FIND($J$15,C41,1)),"STOP","GO")</f>
        <v>STOP</v>
      </c>
      <c r="K41" s="6" t="str">
        <f t="shared" ref="K41:K49" si="1">IF(ISERR(FIND($J$15,E41,1)),"STOP","GO")</f>
        <v>STOP</v>
      </c>
    </row>
    <row r="42" spans="2:13" ht="4.95" customHeight="1" x14ac:dyDescent="0.25">
      <c r="B42" s="90"/>
      <c r="D42" s="26"/>
      <c r="F42" s="26"/>
    </row>
    <row r="43" spans="2:13" ht="15" customHeight="1" x14ac:dyDescent="0.3">
      <c r="B43" s="90"/>
      <c r="C43" s="107" t="s">
        <v>359</v>
      </c>
      <c r="D43" s="26" t="s">
        <v>8</v>
      </c>
      <c r="E43" s="107" t="s">
        <v>359</v>
      </c>
      <c r="F43" s="26" t="s">
        <v>14</v>
      </c>
      <c r="J43" s="6" t="str">
        <f t="shared" si="0"/>
        <v>STOP</v>
      </c>
      <c r="K43" s="6" t="str">
        <f t="shared" si="1"/>
        <v>STOP</v>
      </c>
    </row>
    <row r="44" spans="2:13" ht="4.95" customHeight="1" x14ac:dyDescent="0.25">
      <c r="B44" s="90"/>
      <c r="D44" s="26"/>
      <c r="F44" s="26"/>
    </row>
    <row r="45" spans="2:13" ht="15" customHeight="1" x14ac:dyDescent="0.3">
      <c r="B45" s="90"/>
      <c r="C45" s="107" t="s">
        <v>359</v>
      </c>
      <c r="D45" s="26" t="s">
        <v>9</v>
      </c>
      <c r="E45" s="107" t="s">
        <v>359</v>
      </c>
      <c r="F45" s="26" t="s">
        <v>15</v>
      </c>
      <c r="J45" s="6" t="str">
        <f t="shared" si="0"/>
        <v>STOP</v>
      </c>
      <c r="K45" s="6" t="str">
        <f t="shared" si="1"/>
        <v>STOP</v>
      </c>
    </row>
    <row r="46" spans="2:13" ht="4.95" customHeight="1" x14ac:dyDescent="0.25">
      <c r="B46" s="90"/>
      <c r="D46" s="26"/>
      <c r="F46" s="26"/>
    </row>
    <row r="47" spans="2:13" ht="15" customHeight="1" x14ac:dyDescent="0.3">
      <c r="B47" s="90"/>
      <c r="C47" s="107" t="s">
        <v>359</v>
      </c>
      <c r="D47" s="26" t="s">
        <v>10</v>
      </c>
      <c r="E47" s="107" t="s">
        <v>359</v>
      </c>
      <c r="F47" s="26" t="s">
        <v>16</v>
      </c>
      <c r="J47" s="6" t="str">
        <f t="shared" si="0"/>
        <v>STOP</v>
      </c>
      <c r="K47" s="6" t="str">
        <f t="shared" si="1"/>
        <v>STOP</v>
      </c>
    </row>
    <row r="48" spans="2:13" ht="4.95" customHeight="1" x14ac:dyDescent="0.25">
      <c r="B48" s="90"/>
      <c r="D48" s="26"/>
      <c r="F48" s="26"/>
    </row>
    <row r="49" spans="2:13" ht="15" customHeight="1" x14ac:dyDescent="0.3">
      <c r="B49" s="90"/>
      <c r="C49" s="107" t="s">
        <v>359</v>
      </c>
      <c r="D49" s="26" t="s">
        <v>11</v>
      </c>
      <c r="E49" s="107" t="s">
        <v>359</v>
      </c>
      <c r="F49" s="26" t="s">
        <v>17</v>
      </c>
      <c r="J49" s="6" t="str">
        <f t="shared" si="0"/>
        <v>STOP</v>
      </c>
      <c r="K49" s="6" t="str">
        <f t="shared" si="1"/>
        <v>STOP</v>
      </c>
    </row>
    <row r="50" spans="2:13" ht="4.95" customHeight="1" x14ac:dyDescent="0.25">
      <c r="B50" s="90"/>
      <c r="C50" s="28"/>
      <c r="D50" s="26"/>
      <c r="E50" s="29"/>
      <c r="F50" s="30"/>
    </row>
    <row r="51" spans="2:13" ht="15" customHeight="1" x14ac:dyDescent="0.3">
      <c r="B51" s="90"/>
      <c r="C51" s="107" t="s">
        <v>359</v>
      </c>
      <c r="D51" s="26" t="s">
        <v>12</v>
      </c>
      <c r="E51" s="30"/>
      <c r="F51" s="30"/>
      <c r="J51" s="6" t="str">
        <f>IF(ISERR(FIND($J$15,C51,1)),"STOP","GO")</f>
        <v>STOP</v>
      </c>
    </row>
    <row r="52" spans="2:13" ht="4.95" customHeight="1" x14ac:dyDescent="0.25">
      <c r="B52" s="90"/>
      <c r="D52" s="31"/>
      <c r="E52" s="12"/>
      <c r="F52" s="30"/>
    </row>
    <row r="53" spans="2:13" ht="15" x14ac:dyDescent="0.25">
      <c r="B53" s="90"/>
      <c r="F53" s="32"/>
    </row>
    <row r="54" spans="2:13" ht="15" x14ac:dyDescent="0.25">
      <c r="B54" s="88" t="s">
        <v>18</v>
      </c>
      <c r="C54" s="8"/>
      <c r="F54" s="32"/>
    </row>
    <row r="55" spans="2:13" ht="15" x14ac:dyDescent="0.25">
      <c r="B55" s="90"/>
      <c r="D55" s="33"/>
      <c r="E55" s="33"/>
      <c r="F55" s="30"/>
    </row>
    <row r="56" spans="2:13" s="18" customFormat="1" ht="14.7" customHeight="1" x14ac:dyDescent="0.2">
      <c r="B56" s="92"/>
      <c r="C56" s="108" t="e">
        <f>#REF!</f>
        <v>#REF!</v>
      </c>
      <c r="D56" s="34" t="s">
        <v>358</v>
      </c>
      <c r="E56" s="15" t="s">
        <v>383</v>
      </c>
      <c r="F56" s="35"/>
      <c r="J56" s="145" t="str">
        <f>IF(COUNTIF(J60,"STOP")=1,IF(COUNTIF(J90,"STOP")=1,IF(COUNTIF(J112,"STOP")=1,IF(COUNTIF(J142,"STOP")=1,"STOP",""))))</f>
        <v>STOP</v>
      </c>
      <c r="M56" s="18" t="str">
        <f>J56</f>
        <v>STOP</v>
      </c>
    </row>
    <row r="57" spans="2:13" ht="4.95" customHeight="1" x14ac:dyDescent="0.25">
      <c r="B57" s="90"/>
      <c r="C57" s="30"/>
      <c r="D57" s="34"/>
      <c r="E57" s="36"/>
      <c r="F57" s="30"/>
    </row>
    <row r="58" spans="2:13" ht="4.95" customHeight="1" x14ac:dyDescent="0.25">
      <c r="B58" s="90"/>
      <c r="C58" s="109"/>
      <c r="D58" s="109"/>
      <c r="E58" s="109"/>
      <c r="F58" s="109"/>
      <c r="G58" s="109"/>
      <c r="H58" s="109"/>
    </row>
    <row r="59" spans="2:13" s="18" customFormat="1" ht="4.95" customHeight="1" x14ac:dyDescent="0.25">
      <c r="B59" s="92"/>
      <c r="D59" s="40"/>
      <c r="E59" s="23"/>
      <c r="F59" s="24"/>
    </row>
    <row r="60" spans="2:13" ht="15" x14ac:dyDescent="0.25">
      <c r="B60" s="90"/>
      <c r="C60" s="108" t="e">
        <f>#REF!</f>
        <v>#REF!</v>
      </c>
      <c r="D60" s="34" t="s">
        <v>19</v>
      </c>
      <c r="E60" s="36"/>
      <c r="F60" s="30"/>
      <c r="J60" s="145" t="str">
        <f>IF(COUNTIF(J64:L86,"GO")&gt;0,"","STOP")</f>
        <v>STOP</v>
      </c>
    </row>
    <row r="61" spans="2:13" ht="4.95" customHeight="1" x14ac:dyDescent="0.25">
      <c r="B61" s="90"/>
      <c r="C61" s="30"/>
      <c r="D61" s="34"/>
      <c r="E61" s="36"/>
      <c r="F61" s="30"/>
    </row>
    <row r="62" spans="2:13" ht="4.95" customHeight="1" x14ac:dyDescent="0.25">
      <c r="B62" s="90"/>
      <c r="C62" s="109"/>
      <c r="D62" s="109"/>
      <c r="E62" s="109"/>
      <c r="F62" s="109"/>
      <c r="G62" s="109"/>
      <c r="H62" s="109"/>
    </row>
    <row r="63" spans="2:13" s="18" customFormat="1" ht="4.95" customHeight="1" x14ac:dyDescent="0.25">
      <c r="B63" s="92"/>
      <c r="D63" s="40"/>
      <c r="E63" s="23"/>
      <c r="F63" s="24"/>
    </row>
    <row r="64" spans="2:13" ht="15" x14ac:dyDescent="0.25">
      <c r="B64" s="90"/>
      <c r="C64" s="107" t="e">
        <f>#REF!</f>
        <v>#REF!</v>
      </c>
      <c r="D64" s="26" t="s">
        <v>21</v>
      </c>
      <c r="E64" s="107" t="e">
        <f>#REF!</f>
        <v>#REF!</v>
      </c>
      <c r="F64" s="26" t="s">
        <v>33</v>
      </c>
      <c r="G64" s="107" t="e">
        <f>#REF!</f>
        <v>#REF!</v>
      </c>
      <c r="H64" s="26" t="s">
        <v>45</v>
      </c>
      <c r="J64" s="6" t="str">
        <f>IF(ISERR(FIND($J$15,C64,1)),"STOP","GO")</f>
        <v>STOP</v>
      </c>
      <c r="K64" s="6" t="str">
        <f>IF(ISERR(FIND($J$15,E64,1)),"STOP","GO")</f>
        <v>STOP</v>
      </c>
      <c r="L64" s="6" t="str">
        <f>IF(ISERR(FIND($J$15,G64,1)),"STOP","GO")</f>
        <v>STOP</v>
      </c>
    </row>
    <row r="65" spans="2:12" ht="4.95" customHeight="1" x14ac:dyDescent="0.25">
      <c r="B65" s="90"/>
      <c r="D65" s="26"/>
      <c r="F65" s="26"/>
      <c r="H65" s="26"/>
    </row>
    <row r="66" spans="2:12" ht="15" x14ac:dyDescent="0.25">
      <c r="B66" s="90"/>
      <c r="C66" s="107" t="e">
        <f>#REF!</f>
        <v>#REF!</v>
      </c>
      <c r="D66" s="26" t="s">
        <v>22</v>
      </c>
      <c r="E66" s="107" t="e">
        <f>#REF!</f>
        <v>#REF!</v>
      </c>
      <c r="F66" s="26" t="s">
        <v>34</v>
      </c>
      <c r="G66" s="107" t="e">
        <f>#REF!</f>
        <v>#REF!</v>
      </c>
      <c r="H66" s="26" t="s">
        <v>46</v>
      </c>
      <c r="J66" s="6" t="str">
        <f t="shared" ref="J66:J86" si="2">IF(ISERR(FIND($J$15,C66,1)),"STOP","GO")</f>
        <v>STOP</v>
      </c>
      <c r="K66" s="6" t="str">
        <f t="shared" ref="K66:K86" si="3">IF(ISERR(FIND($J$15,E66,1)),"STOP","GO")</f>
        <v>STOP</v>
      </c>
      <c r="L66" s="6" t="str">
        <f t="shared" ref="L66:L86" si="4">IF(ISERR(FIND($J$15,G66,1)),"STOP","GO")</f>
        <v>STOP</v>
      </c>
    </row>
    <row r="67" spans="2:12" ht="4.95" customHeight="1" x14ac:dyDescent="0.25">
      <c r="B67" s="90"/>
      <c r="D67" s="26"/>
      <c r="F67" s="26"/>
      <c r="H67" s="26"/>
    </row>
    <row r="68" spans="2:12" s="42" customFormat="1" ht="15" x14ac:dyDescent="0.25">
      <c r="B68" s="90"/>
      <c r="C68" s="107" t="e">
        <f>#REF!</f>
        <v>#REF!</v>
      </c>
      <c r="D68" s="41" t="s">
        <v>23</v>
      </c>
      <c r="E68" s="107" t="e">
        <f>#REF!</f>
        <v>#REF!</v>
      </c>
      <c r="F68" s="26" t="s">
        <v>35</v>
      </c>
      <c r="G68" s="107" t="e">
        <f>#REF!</f>
        <v>#REF!</v>
      </c>
      <c r="H68" s="26" t="s">
        <v>47</v>
      </c>
      <c r="J68" s="6" t="str">
        <f t="shared" si="2"/>
        <v>STOP</v>
      </c>
      <c r="K68" s="6" t="str">
        <f t="shared" si="3"/>
        <v>STOP</v>
      </c>
      <c r="L68" s="6" t="str">
        <f t="shared" si="4"/>
        <v>STOP</v>
      </c>
    </row>
    <row r="69" spans="2:12" s="42" customFormat="1" ht="4.95" customHeight="1" x14ac:dyDescent="0.25">
      <c r="B69" s="90"/>
      <c r="D69" s="41"/>
      <c r="E69" s="6"/>
      <c r="F69" s="26"/>
      <c r="G69" s="6"/>
      <c r="H69" s="26"/>
      <c r="J69" s="6"/>
      <c r="K69" s="6"/>
      <c r="L69" s="6"/>
    </row>
    <row r="70" spans="2:12" ht="15" x14ac:dyDescent="0.25">
      <c r="B70" s="90"/>
      <c r="C70" s="107" t="e">
        <f>#REF!</f>
        <v>#REF!</v>
      </c>
      <c r="D70" s="26" t="s">
        <v>24</v>
      </c>
      <c r="E70" s="107" t="e">
        <f>#REF!</f>
        <v>#REF!</v>
      </c>
      <c r="F70" s="26" t="s">
        <v>36</v>
      </c>
      <c r="G70" s="107" t="e">
        <f>#REF!</f>
        <v>#REF!</v>
      </c>
      <c r="H70" s="26" t="s">
        <v>48</v>
      </c>
      <c r="J70" s="6" t="str">
        <f t="shared" si="2"/>
        <v>STOP</v>
      </c>
      <c r="K70" s="6" t="str">
        <f t="shared" si="3"/>
        <v>STOP</v>
      </c>
      <c r="L70" s="6" t="str">
        <f t="shared" si="4"/>
        <v>STOP</v>
      </c>
    </row>
    <row r="71" spans="2:12" ht="4.95" customHeight="1" x14ac:dyDescent="0.25">
      <c r="B71" s="90"/>
      <c r="D71" s="26"/>
      <c r="F71" s="26"/>
      <c r="G71" s="42"/>
      <c r="H71" s="26"/>
    </row>
    <row r="72" spans="2:12" ht="15" x14ac:dyDescent="0.25">
      <c r="B72" s="90"/>
      <c r="C72" s="107" t="e">
        <f>#REF!</f>
        <v>#REF!</v>
      </c>
      <c r="D72" s="26" t="s">
        <v>25</v>
      </c>
      <c r="E72" s="107" t="e">
        <f>#REF!</f>
        <v>#REF!</v>
      </c>
      <c r="F72" s="26" t="s">
        <v>37</v>
      </c>
      <c r="G72" s="107" t="e">
        <f>#REF!</f>
        <v>#REF!</v>
      </c>
      <c r="H72" s="26" t="s">
        <v>49</v>
      </c>
      <c r="J72" s="6" t="str">
        <f t="shared" si="2"/>
        <v>STOP</v>
      </c>
      <c r="K72" s="6" t="str">
        <f t="shared" si="3"/>
        <v>STOP</v>
      </c>
      <c r="L72" s="6" t="str">
        <f t="shared" si="4"/>
        <v>STOP</v>
      </c>
    </row>
    <row r="73" spans="2:12" ht="4.95" customHeight="1" x14ac:dyDescent="0.25">
      <c r="B73" s="90"/>
      <c r="D73" s="26"/>
      <c r="F73" s="26"/>
      <c r="H73" s="26"/>
    </row>
    <row r="74" spans="2:12" ht="15" x14ac:dyDescent="0.25">
      <c r="B74" s="90"/>
      <c r="C74" s="107" t="e">
        <f>#REF!</f>
        <v>#REF!</v>
      </c>
      <c r="D74" s="26" t="s">
        <v>26</v>
      </c>
      <c r="E74" s="107" t="e">
        <f>#REF!</f>
        <v>#REF!</v>
      </c>
      <c r="F74" s="26" t="s">
        <v>38</v>
      </c>
      <c r="G74" s="107" t="e">
        <f>#REF!</f>
        <v>#REF!</v>
      </c>
      <c r="H74" s="26" t="s">
        <v>50</v>
      </c>
      <c r="J74" s="6" t="str">
        <f t="shared" si="2"/>
        <v>STOP</v>
      </c>
      <c r="K74" s="6" t="str">
        <f t="shared" si="3"/>
        <v>STOP</v>
      </c>
      <c r="L74" s="6" t="str">
        <f t="shared" si="4"/>
        <v>STOP</v>
      </c>
    </row>
    <row r="75" spans="2:12" ht="4.95" customHeight="1" x14ac:dyDescent="0.25">
      <c r="B75" s="90"/>
      <c r="D75" s="26"/>
      <c r="F75" s="26"/>
      <c r="H75" s="26"/>
    </row>
    <row r="76" spans="2:12" ht="15" x14ac:dyDescent="0.25">
      <c r="B76" s="90"/>
      <c r="C76" s="107" t="e">
        <f>#REF!</f>
        <v>#REF!</v>
      </c>
      <c r="D76" s="26" t="s">
        <v>27</v>
      </c>
      <c r="E76" s="107" t="e">
        <f>#REF!</f>
        <v>#REF!</v>
      </c>
      <c r="F76" s="26" t="s">
        <v>39</v>
      </c>
      <c r="G76" s="107" t="e">
        <f>#REF!</f>
        <v>#REF!</v>
      </c>
      <c r="H76" s="26" t="s">
        <v>51</v>
      </c>
      <c r="J76" s="6" t="str">
        <f t="shared" si="2"/>
        <v>STOP</v>
      </c>
      <c r="K76" s="6" t="str">
        <f t="shared" si="3"/>
        <v>STOP</v>
      </c>
      <c r="L76" s="6" t="str">
        <f t="shared" si="4"/>
        <v>STOP</v>
      </c>
    </row>
    <row r="77" spans="2:12" ht="4.95" customHeight="1" x14ac:dyDescent="0.3">
      <c r="B77" s="90"/>
      <c r="D77" s="26"/>
      <c r="F77" s="26"/>
      <c r="H77" s="26"/>
    </row>
    <row r="78" spans="2:12" x14ac:dyDescent="0.3">
      <c r="B78" s="90"/>
      <c r="C78" s="107" t="e">
        <f>#REF!</f>
        <v>#REF!</v>
      </c>
      <c r="D78" s="26" t="s">
        <v>28</v>
      </c>
      <c r="E78" s="107" t="e">
        <f>#REF!</f>
        <v>#REF!</v>
      </c>
      <c r="F78" s="26" t="s">
        <v>40</v>
      </c>
      <c r="G78" s="107" t="e">
        <f>#REF!</f>
        <v>#REF!</v>
      </c>
      <c r="H78" s="26" t="s">
        <v>52</v>
      </c>
      <c r="J78" s="6" t="str">
        <f t="shared" si="2"/>
        <v>STOP</v>
      </c>
      <c r="K78" s="6" t="str">
        <f t="shared" si="3"/>
        <v>STOP</v>
      </c>
      <c r="L78" s="6" t="str">
        <f t="shared" si="4"/>
        <v>STOP</v>
      </c>
    </row>
    <row r="79" spans="2:12" ht="4.95" customHeight="1" x14ac:dyDescent="0.3">
      <c r="B79" s="90"/>
      <c r="D79" s="26"/>
      <c r="F79" s="26"/>
      <c r="H79" s="26"/>
    </row>
    <row r="80" spans="2:12" x14ac:dyDescent="0.3">
      <c r="B80" s="90"/>
      <c r="C80" s="107" t="e">
        <f>#REF!</f>
        <v>#REF!</v>
      </c>
      <c r="D80" s="26" t="s">
        <v>29</v>
      </c>
      <c r="E80" s="107" t="e">
        <f>#REF!</f>
        <v>#REF!</v>
      </c>
      <c r="F80" s="41" t="s">
        <v>41</v>
      </c>
      <c r="G80" s="107" t="e">
        <f>#REF!</f>
        <v>#REF!</v>
      </c>
      <c r="H80" s="26" t="s">
        <v>53</v>
      </c>
      <c r="J80" s="6" t="str">
        <f t="shared" si="2"/>
        <v>STOP</v>
      </c>
      <c r="K80" s="6" t="str">
        <f t="shared" si="3"/>
        <v>STOP</v>
      </c>
      <c r="L80" s="6" t="str">
        <f t="shared" si="4"/>
        <v>STOP</v>
      </c>
    </row>
    <row r="81" spans="2:12" ht="4.95" customHeight="1" x14ac:dyDescent="0.3">
      <c r="B81" s="90"/>
      <c r="D81" s="26"/>
      <c r="E81" s="42"/>
      <c r="F81" s="41"/>
      <c r="H81" s="26"/>
    </row>
    <row r="82" spans="2:12" x14ac:dyDescent="0.3">
      <c r="B82" s="90"/>
      <c r="C82" s="107" t="e">
        <f>#REF!</f>
        <v>#REF!</v>
      </c>
      <c r="D82" s="26" t="s">
        <v>30</v>
      </c>
      <c r="E82" s="107" t="e">
        <f>#REF!</f>
        <v>#REF!</v>
      </c>
      <c r="F82" s="26" t="s">
        <v>42</v>
      </c>
      <c r="G82" s="107" t="e">
        <f>#REF!</f>
        <v>#REF!</v>
      </c>
      <c r="H82" s="26" t="s">
        <v>54</v>
      </c>
      <c r="J82" s="6" t="str">
        <f t="shared" si="2"/>
        <v>STOP</v>
      </c>
      <c r="K82" s="6" t="str">
        <f t="shared" si="3"/>
        <v>STOP</v>
      </c>
      <c r="L82" s="6" t="str">
        <f t="shared" si="4"/>
        <v>STOP</v>
      </c>
    </row>
    <row r="83" spans="2:12" ht="4.95" customHeight="1" x14ac:dyDescent="0.3">
      <c r="B83" s="90"/>
      <c r="C83" s="42"/>
      <c r="D83" s="26"/>
      <c r="F83" s="26"/>
      <c r="H83" s="26"/>
    </row>
    <row r="84" spans="2:12" x14ac:dyDescent="0.3">
      <c r="B84" s="90"/>
      <c r="C84" s="107" t="e">
        <f>#REF!</f>
        <v>#REF!</v>
      </c>
      <c r="D84" s="26" t="s">
        <v>31</v>
      </c>
      <c r="E84" s="107" t="e">
        <f>#REF!</f>
        <v>#REF!</v>
      </c>
      <c r="F84" s="26" t="s">
        <v>43</v>
      </c>
      <c r="G84" s="107" t="e">
        <f>#REF!</f>
        <v>#REF!</v>
      </c>
      <c r="H84" s="26" t="s">
        <v>55</v>
      </c>
      <c r="J84" s="6" t="str">
        <f t="shared" si="2"/>
        <v>STOP</v>
      </c>
      <c r="K84" s="6" t="str">
        <f t="shared" si="3"/>
        <v>STOP</v>
      </c>
      <c r="L84" s="6" t="str">
        <f t="shared" si="4"/>
        <v>STOP</v>
      </c>
    </row>
    <row r="85" spans="2:12" ht="4.95" customHeight="1" x14ac:dyDescent="0.3">
      <c r="B85" s="90"/>
      <c r="D85" s="26"/>
      <c r="F85" s="26"/>
      <c r="H85" s="26"/>
    </row>
    <row r="86" spans="2:12" x14ac:dyDescent="0.3">
      <c r="B86" s="90"/>
      <c r="C86" s="107" t="e">
        <f>#REF!</f>
        <v>#REF!</v>
      </c>
      <c r="D86" s="26" t="s">
        <v>32</v>
      </c>
      <c r="E86" s="107" t="e">
        <f>#REF!</f>
        <v>#REF!</v>
      </c>
      <c r="F86" s="26" t="s">
        <v>44</v>
      </c>
      <c r="G86" s="107" t="e">
        <f>#REF!</f>
        <v>#REF!</v>
      </c>
      <c r="H86" s="26" t="s">
        <v>56</v>
      </c>
      <c r="J86" s="6" t="str">
        <f t="shared" si="2"/>
        <v>STOP</v>
      </c>
      <c r="K86" s="6" t="str">
        <f t="shared" si="3"/>
        <v>STOP</v>
      </c>
      <c r="L86" s="6" t="str">
        <f t="shared" si="4"/>
        <v>STOP</v>
      </c>
    </row>
    <row r="87" spans="2:12" ht="4.95" customHeight="1" x14ac:dyDescent="0.3">
      <c r="B87" s="90"/>
      <c r="C87" s="30"/>
      <c r="D87" s="34"/>
      <c r="E87" s="36"/>
      <c r="F87" s="30"/>
    </row>
    <row r="88" spans="2:12" ht="4.95" customHeight="1" x14ac:dyDescent="0.3">
      <c r="B88" s="90"/>
      <c r="C88" s="109"/>
      <c r="D88" s="109"/>
      <c r="E88" s="109"/>
      <c r="F88" s="109"/>
      <c r="G88" s="109"/>
      <c r="H88" s="109"/>
    </row>
    <row r="89" spans="2:12" s="18" customFormat="1" ht="4.95" customHeight="1" x14ac:dyDescent="0.3">
      <c r="B89" s="92"/>
      <c r="D89" s="40"/>
      <c r="E89" s="23"/>
      <c r="F89" s="24"/>
    </row>
    <row r="90" spans="2:12" x14ac:dyDescent="0.3">
      <c r="B90" s="90"/>
      <c r="C90" s="108" t="e">
        <f>#REF!</f>
        <v>#REF!</v>
      </c>
      <c r="D90" s="34" t="s">
        <v>20</v>
      </c>
      <c r="E90" s="36"/>
      <c r="F90" s="30"/>
      <c r="J90" s="145" t="str">
        <f>IF(COUNTIF(J94:L108,"GO")&gt;0,"","STOP")</f>
        <v>STOP</v>
      </c>
    </row>
    <row r="91" spans="2:12" ht="4.95" customHeight="1" x14ac:dyDescent="0.3">
      <c r="B91" s="90"/>
      <c r="C91" s="30"/>
      <c r="D91" s="34"/>
      <c r="E91" s="36"/>
      <c r="F91" s="30"/>
    </row>
    <row r="92" spans="2:12" ht="4.95" customHeight="1" x14ac:dyDescent="0.3">
      <c r="B92" s="90"/>
      <c r="C92" s="109"/>
      <c r="D92" s="109"/>
      <c r="E92" s="109"/>
      <c r="F92" s="109"/>
      <c r="G92" s="109"/>
      <c r="H92" s="109"/>
    </row>
    <row r="93" spans="2:12" s="18" customFormat="1" ht="4.95" customHeight="1" x14ac:dyDescent="0.3">
      <c r="B93" s="92"/>
      <c r="D93" s="40"/>
      <c r="E93" s="23"/>
      <c r="F93" s="24"/>
    </row>
    <row r="94" spans="2:12" x14ac:dyDescent="0.3">
      <c r="B94" s="90"/>
      <c r="C94" s="107" t="e">
        <f>#REF!</f>
        <v>#REF!</v>
      </c>
      <c r="D94" s="41" t="s">
        <v>57</v>
      </c>
      <c r="E94" s="107" t="e">
        <f>#REF!</f>
        <v>#REF!</v>
      </c>
      <c r="F94" s="41" t="s">
        <v>65</v>
      </c>
      <c r="G94" s="107" t="e">
        <f>#REF!</f>
        <v>#REF!</v>
      </c>
      <c r="H94" s="41" t="s">
        <v>73</v>
      </c>
      <c r="J94" s="6" t="str">
        <f>IF(ISERR(FIND($J$15,C94,1)),"STOP","GO")</f>
        <v>STOP</v>
      </c>
      <c r="K94" s="6" t="str">
        <f>IF(ISERR(FIND($J$15,E94,1)),"STOP","GO")</f>
        <v>STOP</v>
      </c>
      <c r="L94" s="6" t="str">
        <f>IF(ISERR(FIND($J$15,G94,1)),"STOP","GO")</f>
        <v>STOP</v>
      </c>
    </row>
    <row r="95" spans="2:12" ht="4.95" customHeight="1" x14ac:dyDescent="0.3">
      <c r="B95" s="90"/>
      <c r="D95" s="41"/>
      <c r="F95" s="41"/>
      <c r="H95" s="41"/>
    </row>
    <row r="96" spans="2:12" x14ac:dyDescent="0.3">
      <c r="B96" s="90"/>
      <c r="C96" s="107" t="e">
        <f>#REF!</f>
        <v>#REF!</v>
      </c>
      <c r="D96" s="41" t="s">
        <v>58</v>
      </c>
      <c r="E96" s="107" t="e">
        <f>#REF!</f>
        <v>#REF!</v>
      </c>
      <c r="F96" s="41" t="s">
        <v>66</v>
      </c>
      <c r="G96" s="107" t="e">
        <f>#REF!</f>
        <v>#REF!</v>
      </c>
      <c r="H96" s="41" t="s">
        <v>74</v>
      </c>
      <c r="J96" s="6" t="str">
        <f t="shared" ref="J96" si="5">IF(ISERR(FIND($J$15,C96,1)),"STOP","GO")</f>
        <v>STOP</v>
      </c>
      <c r="K96" s="6" t="str">
        <f t="shared" ref="K96" si="6">IF(ISERR(FIND($J$15,E96,1)),"STOP","GO")</f>
        <v>STOP</v>
      </c>
      <c r="L96" s="6" t="str">
        <f t="shared" ref="L96" si="7">IF(ISERR(FIND($J$15,G96,1)),"STOP","GO")</f>
        <v>STOP</v>
      </c>
    </row>
    <row r="97" spans="2:12" ht="4.95" customHeight="1" x14ac:dyDescent="0.3">
      <c r="B97" s="90"/>
      <c r="D97" s="41"/>
      <c r="F97" s="41"/>
      <c r="H97" s="41"/>
    </row>
    <row r="98" spans="2:12" x14ac:dyDescent="0.3">
      <c r="B98" s="90"/>
      <c r="C98" s="107" t="e">
        <f>#REF!</f>
        <v>#REF!</v>
      </c>
      <c r="D98" s="41" t="s">
        <v>59</v>
      </c>
      <c r="E98" s="107" t="e">
        <f>#REF!</f>
        <v>#REF!</v>
      </c>
      <c r="F98" s="41" t="s">
        <v>67</v>
      </c>
      <c r="G98" s="107" t="e">
        <f>#REF!</f>
        <v>#REF!</v>
      </c>
      <c r="H98" s="41" t="s">
        <v>75</v>
      </c>
      <c r="J98" s="6" t="str">
        <f t="shared" ref="J98" si="8">IF(ISERR(FIND($J$15,C98,1)),"STOP","GO")</f>
        <v>STOP</v>
      </c>
      <c r="K98" s="6" t="str">
        <f t="shared" ref="K98" si="9">IF(ISERR(FIND($J$15,E98,1)),"STOP","GO")</f>
        <v>STOP</v>
      </c>
      <c r="L98" s="6" t="str">
        <f t="shared" ref="L98" si="10">IF(ISERR(FIND($J$15,G98,1)),"STOP","GO")</f>
        <v>STOP</v>
      </c>
    </row>
    <row r="99" spans="2:12" ht="4.95" customHeight="1" x14ac:dyDescent="0.3">
      <c r="B99" s="90"/>
      <c r="D99" s="41"/>
      <c r="F99" s="41"/>
      <c r="H99" s="41"/>
    </row>
    <row r="100" spans="2:12" x14ac:dyDescent="0.3">
      <c r="B100" s="90"/>
      <c r="C100" s="107" t="e">
        <f>#REF!</f>
        <v>#REF!</v>
      </c>
      <c r="D100" s="41" t="s">
        <v>60</v>
      </c>
      <c r="E100" s="107" t="e">
        <f>#REF!</f>
        <v>#REF!</v>
      </c>
      <c r="F100" s="41" t="s">
        <v>68</v>
      </c>
      <c r="G100" s="107" t="e">
        <f>#REF!</f>
        <v>#REF!</v>
      </c>
      <c r="H100" s="41" t="s">
        <v>76</v>
      </c>
      <c r="J100" s="6" t="str">
        <f>IF(ISERR(FIND($J$15,C100,1)),"STOP","GO")</f>
        <v>STOP</v>
      </c>
      <c r="K100" s="6" t="str">
        <f t="shared" ref="K100" si="11">IF(ISERR(FIND($J$15,E100,1)),"STOP","GO")</f>
        <v>STOP</v>
      </c>
      <c r="L100" s="6" t="str">
        <f t="shared" ref="L100" si="12">IF(ISERR(FIND($J$15,G100,1)),"STOP","GO")</f>
        <v>STOP</v>
      </c>
    </row>
    <row r="101" spans="2:12" ht="4.95" customHeight="1" x14ac:dyDescent="0.3">
      <c r="B101" s="90"/>
      <c r="D101" s="41"/>
      <c r="F101" s="41"/>
      <c r="H101" s="41"/>
    </row>
    <row r="102" spans="2:12" x14ac:dyDescent="0.3">
      <c r="B102" s="90"/>
      <c r="C102" s="107" t="e">
        <f>#REF!</f>
        <v>#REF!</v>
      </c>
      <c r="D102" s="41" t="s">
        <v>61</v>
      </c>
      <c r="E102" s="107" t="e">
        <f>#REF!</f>
        <v>#REF!</v>
      </c>
      <c r="F102" s="41" t="s">
        <v>69</v>
      </c>
      <c r="G102" s="107" t="e">
        <f>#REF!</f>
        <v>#REF!</v>
      </c>
      <c r="H102" s="41" t="s">
        <v>77</v>
      </c>
      <c r="J102" s="6" t="str">
        <f t="shared" ref="J102" si="13">IF(ISERR(FIND($J$15,C102,1)),"STOP","GO")</f>
        <v>STOP</v>
      </c>
      <c r="K102" s="6" t="str">
        <f t="shared" ref="K102" si="14">IF(ISERR(FIND($J$15,E102,1)),"STOP","GO")</f>
        <v>STOP</v>
      </c>
      <c r="L102" s="6" t="str">
        <f t="shared" ref="L102" si="15">IF(ISERR(FIND($J$15,G102,1)),"STOP","GO")</f>
        <v>STOP</v>
      </c>
    </row>
    <row r="103" spans="2:12" ht="4.95" customHeight="1" x14ac:dyDescent="0.3">
      <c r="B103" s="90"/>
      <c r="D103" s="41"/>
      <c r="F103" s="41"/>
      <c r="H103" s="41"/>
    </row>
    <row r="104" spans="2:12" x14ac:dyDescent="0.3">
      <c r="B104" s="90"/>
      <c r="C104" s="107" t="e">
        <f>#REF!</f>
        <v>#REF!</v>
      </c>
      <c r="D104" s="41" t="s">
        <v>62</v>
      </c>
      <c r="E104" s="107" t="e">
        <f>#REF!</f>
        <v>#REF!</v>
      </c>
      <c r="F104" s="41" t="s">
        <v>70</v>
      </c>
      <c r="G104" s="107" t="e">
        <f>#REF!</f>
        <v>#REF!</v>
      </c>
      <c r="H104" s="41" t="s">
        <v>78</v>
      </c>
      <c r="J104" s="6" t="str">
        <f t="shared" ref="J104" si="16">IF(ISERR(FIND($J$15,C104,1)),"STOP","GO")</f>
        <v>STOP</v>
      </c>
      <c r="K104" s="6" t="str">
        <f t="shared" ref="K104" si="17">IF(ISERR(FIND($J$15,E104,1)),"STOP","GO")</f>
        <v>STOP</v>
      </c>
      <c r="L104" s="6" t="str">
        <f t="shared" ref="L104" si="18">IF(ISERR(FIND($J$15,G104,1)),"STOP","GO")</f>
        <v>STOP</v>
      </c>
    </row>
    <row r="105" spans="2:12" ht="4.95" customHeight="1" x14ac:dyDescent="0.3">
      <c r="B105" s="90"/>
      <c r="C105" s="42"/>
      <c r="D105" s="41"/>
      <c r="E105" s="42"/>
      <c r="F105" s="41"/>
      <c r="G105" s="42"/>
      <c r="H105" s="41"/>
    </row>
    <row r="106" spans="2:12" x14ac:dyDescent="0.3">
      <c r="B106" s="90"/>
      <c r="C106" s="107" t="e">
        <f>#REF!</f>
        <v>#REF!</v>
      </c>
      <c r="D106" s="41" t="s">
        <v>63</v>
      </c>
      <c r="E106" s="107" t="e">
        <f>#REF!</f>
        <v>#REF!</v>
      </c>
      <c r="F106" s="41" t="s">
        <v>71</v>
      </c>
      <c r="G106" s="107" t="e">
        <f>#REF!</f>
        <v>#REF!</v>
      </c>
      <c r="H106" s="41" t="s">
        <v>79</v>
      </c>
      <c r="J106" s="6" t="str">
        <f t="shared" ref="J106" si="19">IF(ISERR(FIND($J$15,C106,1)),"STOP","GO")</f>
        <v>STOP</v>
      </c>
      <c r="K106" s="6" t="str">
        <f t="shared" ref="K106" si="20">IF(ISERR(FIND($J$15,E106,1)),"STOP","GO")</f>
        <v>STOP</v>
      </c>
      <c r="L106" s="6" t="str">
        <f t="shared" ref="L106" si="21">IF(ISERR(FIND($J$15,G106,1)),"STOP","GO")</f>
        <v>STOP</v>
      </c>
    </row>
    <row r="107" spans="2:12" ht="4.95" customHeight="1" x14ac:dyDescent="0.3">
      <c r="B107" s="90"/>
      <c r="D107" s="41"/>
      <c r="F107" s="41"/>
      <c r="H107" s="41"/>
    </row>
    <row r="108" spans="2:12" x14ac:dyDescent="0.3">
      <c r="B108" s="90"/>
      <c r="C108" s="107" t="e">
        <f>#REF!</f>
        <v>#REF!</v>
      </c>
      <c r="D108" s="41" t="s">
        <v>64</v>
      </c>
      <c r="E108" s="107" t="e">
        <f>#REF!</f>
        <v>#REF!</v>
      </c>
      <c r="F108" s="41" t="s">
        <v>72</v>
      </c>
      <c r="G108" s="107" t="e">
        <f>#REF!</f>
        <v>#REF!</v>
      </c>
      <c r="H108" s="41" t="s">
        <v>80</v>
      </c>
      <c r="J108" s="6" t="str">
        <f t="shared" ref="J108" si="22">IF(ISERR(FIND($J$15,C108,1)),"STOP","GO")</f>
        <v>STOP</v>
      </c>
      <c r="K108" s="6" t="str">
        <f t="shared" ref="K108" si="23">IF(ISERR(FIND($J$15,E108,1)),"STOP","GO")</f>
        <v>STOP</v>
      </c>
      <c r="L108" s="6" t="str">
        <f t="shared" ref="L108" si="24">IF(ISERR(FIND($J$15,G108,1)),"STOP","GO")</f>
        <v>STOP</v>
      </c>
    </row>
    <row r="109" spans="2:12" ht="4.95" customHeight="1" x14ac:dyDescent="0.3">
      <c r="B109" s="90"/>
      <c r="C109" s="30"/>
      <c r="D109" s="34"/>
      <c r="E109" s="36"/>
      <c r="F109" s="30"/>
    </row>
    <row r="110" spans="2:12" ht="4.95" customHeight="1" x14ac:dyDescent="0.3">
      <c r="B110" s="90"/>
      <c r="C110" s="109"/>
      <c r="D110" s="109"/>
      <c r="E110" s="109"/>
      <c r="F110" s="109"/>
      <c r="G110" s="109"/>
      <c r="H110" s="109"/>
    </row>
    <row r="111" spans="2:12" s="18" customFormat="1" ht="4.95" customHeight="1" x14ac:dyDescent="0.3">
      <c r="B111" s="92"/>
      <c r="D111" s="40"/>
      <c r="E111" s="23"/>
      <c r="F111" s="24"/>
    </row>
    <row r="112" spans="2:12" x14ac:dyDescent="0.3">
      <c r="B112" s="90"/>
      <c r="C112" s="108" t="e">
        <f>#REF!</f>
        <v>#REF!</v>
      </c>
      <c r="D112" s="34" t="s">
        <v>81</v>
      </c>
      <c r="E112" s="36"/>
      <c r="F112" s="30"/>
      <c r="J112" s="145" t="str">
        <f>IF(COUNTIF(J116:L138,"GO")&gt;0,"","STOP")</f>
        <v>STOP</v>
      </c>
    </row>
    <row r="113" spans="2:12" ht="4.95" customHeight="1" x14ac:dyDescent="0.3">
      <c r="B113" s="90"/>
      <c r="C113" s="30"/>
      <c r="D113" s="34"/>
      <c r="E113" s="36"/>
      <c r="F113" s="30"/>
    </row>
    <row r="114" spans="2:12" ht="4.95" customHeight="1" x14ac:dyDescent="0.3">
      <c r="B114" s="90"/>
      <c r="C114" s="109"/>
      <c r="D114" s="109"/>
      <c r="E114" s="109"/>
      <c r="F114" s="109"/>
      <c r="G114" s="109"/>
      <c r="H114" s="109"/>
    </row>
    <row r="115" spans="2:12" s="18" customFormat="1" ht="4.95" customHeight="1" x14ac:dyDescent="0.3">
      <c r="B115" s="92"/>
      <c r="D115" s="40"/>
      <c r="E115" s="23"/>
      <c r="F115" s="24"/>
    </row>
    <row r="116" spans="2:12" x14ac:dyDescent="0.3">
      <c r="B116" s="90"/>
      <c r="C116" s="107" t="e">
        <f>#REF!</f>
        <v>#REF!</v>
      </c>
      <c r="D116" s="43" t="s">
        <v>82</v>
      </c>
      <c r="E116" s="107" t="e">
        <f>#REF!</f>
        <v>#REF!</v>
      </c>
      <c r="F116" s="43" t="s">
        <v>94</v>
      </c>
      <c r="G116" s="107" t="e">
        <f>#REF!</f>
        <v>#REF!</v>
      </c>
      <c r="H116" s="41" t="s">
        <v>106</v>
      </c>
      <c r="J116" s="6" t="str">
        <f>IF(ISERR(FIND($J$15,C116,1)),"STOP","GO")</f>
        <v>STOP</v>
      </c>
      <c r="K116" s="6" t="str">
        <f>IF(ISERR(FIND($J$15,E116,1)),"STOP","GO")</f>
        <v>STOP</v>
      </c>
      <c r="L116" s="6" t="str">
        <f>IF(ISERR(FIND($J$15,G116,1)),"STOP","GO")</f>
        <v>STOP</v>
      </c>
    </row>
    <row r="117" spans="2:12" ht="4.95" customHeight="1" x14ac:dyDescent="0.3">
      <c r="B117" s="90"/>
      <c r="D117" s="43"/>
      <c r="F117" s="43"/>
      <c r="H117" s="41"/>
    </row>
    <row r="118" spans="2:12" x14ac:dyDescent="0.3">
      <c r="B118" s="90"/>
      <c r="C118" s="107" t="e">
        <f>#REF!</f>
        <v>#REF!</v>
      </c>
      <c r="D118" s="43" t="s">
        <v>83</v>
      </c>
      <c r="E118" s="107" t="e">
        <f>#REF!</f>
        <v>#REF!</v>
      </c>
      <c r="F118" s="43" t="s">
        <v>95</v>
      </c>
      <c r="G118" s="107" t="e">
        <f>#REF!</f>
        <v>#REF!</v>
      </c>
      <c r="H118" s="41" t="s">
        <v>107</v>
      </c>
      <c r="J118" s="6" t="str">
        <f t="shared" ref="J118" si="25">IF(ISERR(FIND($J$15,C118,1)),"STOP","GO")</f>
        <v>STOP</v>
      </c>
      <c r="K118" s="6" t="str">
        <f t="shared" ref="K118" si="26">IF(ISERR(FIND($J$15,E118,1)),"STOP","GO")</f>
        <v>STOP</v>
      </c>
      <c r="L118" s="6" t="str">
        <f t="shared" ref="L118" si="27">IF(ISERR(FIND($J$15,G118,1)),"STOP","GO")</f>
        <v>STOP</v>
      </c>
    </row>
    <row r="119" spans="2:12" ht="4.95" customHeight="1" x14ac:dyDescent="0.3">
      <c r="B119" s="90"/>
      <c r="D119" s="43"/>
      <c r="F119" s="43"/>
      <c r="H119" s="41"/>
    </row>
    <row r="120" spans="2:12" x14ac:dyDescent="0.3">
      <c r="B120" s="90"/>
      <c r="C120" s="107" t="e">
        <f>#REF!</f>
        <v>#REF!</v>
      </c>
      <c r="D120" s="43" t="s">
        <v>84</v>
      </c>
      <c r="E120" s="107" t="e">
        <f>#REF!</f>
        <v>#REF!</v>
      </c>
      <c r="F120" s="43" t="s">
        <v>96</v>
      </c>
      <c r="G120" s="107" t="e">
        <f>#REF!</f>
        <v>#REF!</v>
      </c>
      <c r="H120" s="41" t="s">
        <v>108</v>
      </c>
      <c r="J120" s="6" t="str">
        <f t="shared" ref="J120" si="28">IF(ISERR(FIND($J$15,C120,1)),"STOP","GO")</f>
        <v>STOP</v>
      </c>
      <c r="K120" s="6" t="str">
        <f t="shared" ref="K120" si="29">IF(ISERR(FIND($J$15,E120,1)),"STOP","GO")</f>
        <v>STOP</v>
      </c>
      <c r="L120" s="6" t="str">
        <f t="shared" ref="L120" si="30">IF(ISERR(FIND($J$15,G120,1)),"STOP","GO")</f>
        <v>STOP</v>
      </c>
    </row>
    <row r="121" spans="2:12" ht="4.95" customHeight="1" x14ac:dyDescent="0.3">
      <c r="B121" s="90"/>
      <c r="C121" s="42"/>
      <c r="D121" s="43"/>
      <c r="E121" s="42"/>
      <c r="F121" s="43"/>
      <c r="G121" s="42"/>
      <c r="H121" s="41"/>
    </row>
    <row r="122" spans="2:12" x14ac:dyDescent="0.3">
      <c r="B122" s="90"/>
      <c r="C122" s="107" t="e">
        <f>#REF!</f>
        <v>#REF!</v>
      </c>
      <c r="D122" s="43" t="s">
        <v>85</v>
      </c>
      <c r="E122" s="107" t="e">
        <f>#REF!</f>
        <v>#REF!</v>
      </c>
      <c r="F122" s="43" t="s">
        <v>97</v>
      </c>
      <c r="G122" s="107" t="e">
        <f>#REF!</f>
        <v>#REF!</v>
      </c>
      <c r="H122" s="41" t="s">
        <v>109</v>
      </c>
      <c r="J122" s="6" t="str">
        <f>IF(ISERR(FIND($J$15,C122,1)),"STOP","GO")</f>
        <v>STOP</v>
      </c>
      <c r="K122" s="6" t="str">
        <f t="shared" ref="K122" si="31">IF(ISERR(FIND($J$15,E122,1)),"STOP","GO")</f>
        <v>STOP</v>
      </c>
      <c r="L122" s="6" t="str">
        <f t="shared" ref="L122" si="32">IF(ISERR(FIND($J$15,G122,1)),"STOP","GO")</f>
        <v>STOP</v>
      </c>
    </row>
    <row r="123" spans="2:12" ht="4.95" customHeight="1" x14ac:dyDescent="0.3">
      <c r="B123" s="90"/>
      <c r="D123" s="43"/>
      <c r="F123" s="43"/>
      <c r="H123" s="41"/>
    </row>
    <row r="124" spans="2:12" x14ac:dyDescent="0.3">
      <c r="B124" s="90"/>
      <c r="C124" s="107" t="e">
        <f>#REF!</f>
        <v>#REF!</v>
      </c>
      <c r="D124" s="43" t="s">
        <v>86</v>
      </c>
      <c r="E124" s="107" t="e">
        <f>#REF!</f>
        <v>#REF!</v>
      </c>
      <c r="F124" s="43" t="s">
        <v>98</v>
      </c>
      <c r="G124" s="107" t="e">
        <f>#REF!</f>
        <v>#REF!</v>
      </c>
      <c r="H124" s="41" t="s">
        <v>110</v>
      </c>
      <c r="J124" s="6" t="str">
        <f t="shared" ref="J124" si="33">IF(ISERR(FIND($J$15,C124,1)),"STOP","GO")</f>
        <v>STOP</v>
      </c>
      <c r="K124" s="6" t="str">
        <f t="shared" ref="K124" si="34">IF(ISERR(FIND($J$15,E124,1)),"STOP","GO")</f>
        <v>STOP</v>
      </c>
      <c r="L124" s="6" t="str">
        <f t="shared" ref="L124" si="35">IF(ISERR(FIND($J$15,G124,1)),"STOP","GO")</f>
        <v>STOP</v>
      </c>
    </row>
    <row r="125" spans="2:12" ht="4.95" customHeight="1" x14ac:dyDescent="0.3">
      <c r="B125" s="90"/>
      <c r="D125" s="43"/>
      <c r="F125" s="43"/>
      <c r="H125" s="41"/>
    </row>
    <row r="126" spans="2:12" x14ac:dyDescent="0.3">
      <c r="B126" s="90"/>
      <c r="C126" s="107" t="e">
        <f>#REF!</f>
        <v>#REF!</v>
      </c>
      <c r="D126" s="43" t="s">
        <v>87</v>
      </c>
      <c r="E126" s="107" t="e">
        <f>#REF!</f>
        <v>#REF!</v>
      </c>
      <c r="F126" s="43" t="s">
        <v>99</v>
      </c>
      <c r="G126" s="107" t="e">
        <f>#REF!</f>
        <v>#REF!</v>
      </c>
      <c r="H126" s="41" t="s">
        <v>111</v>
      </c>
      <c r="J126" s="6" t="str">
        <f t="shared" ref="J126" si="36">IF(ISERR(FIND($J$15,C126,1)),"STOP","GO")</f>
        <v>STOP</v>
      </c>
      <c r="K126" s="6" t="str">
        <f t="shared" ref="K126" si="37">IF(ISERR(FIND($J$15,E126,1)),"STOP","GO")</f>
        <v>STOP</v>
      </c>
      <c r="L126" s="6" t="str">
        <f t="shared" ref="L126" si="38">IF(ISERR(FIND($J$15,G126,1)),"STOP","GO")</f>
        <v>STOP</v>
      </c>
    </row>
    <row r="127" spans="2:12" ht="4.95" customHeight="1" x14ac:dyDescent="0.3">
      <c r="B127" s="90"/>
      <c r="D127" s="43"/>
      <c r="F127" s="43"/>
      <c r="H127" s="41"/>
    </row>
    <row r="128" spans="2:12" x14ac:dyDescent="0.3">
      <c r="B128" s="90"/>
      <c r="C128" s="107" t="e">
        <f>#REF!</f>
        <v>#REF!</v>
      </c>
      <c r="D128" s="43" t="s">
        <v>88</v>
      </c>
      <c r="E128" s="107" t="e">
        <f>#REF!</f>
        <v>#REF!</v>
      </c>
      <c r="F128" s="43" t="s">
        <v>100</v>
      </c>
      <c r="G128" s="107" t="e">
        <f>#REF!</f>
        <v>#REF!</v>
      </c>
      <c r="H128" s="41" t="s">
        <v>112</v>
      </c>
      <c r="J128" s="6" t="str">
        <f t="shared" ref="J128" si="39">IF(ISERR(FIND($J$15,C128,1)),"STOP","GO")</f>
        <v>STOP</v>
      </c>
      <c r="K128" s="6" t="str">
        <f t="shared" ref="K128" si="40">IF(ISERR(FIND($J$15,E128,1)),"STOP","GO")</f>
        <v>STOP</v>
      </c>
      <c r="L128" s="6" t="str">
        <f t="shared" ref="L128" si="41">IF(ISERR(FIND($J$15,G128,1)),"STOP","GO")</f>
        <v>STOP</v>
      </c>
    </row>
    <row r="129" spans="2:12" ht="4.95" customHeight="1" x14ac:dyDescent="0.3">
      <c r="B129" s="90"/>
      <c r="D129" s="43"/>
      <c r="E129" s="62"/>
      <c r="F129" s="43"/>
      <c r="H129" s="41"/>
    </row>
    <row r="130" spans="2:12" x14ac:dyDescent="0.3">
      <c r="B130" s="90"/>
      <c r="C130" s="107" t="e">
        <f>#REF!</f>
        <v>#REF!</v>
      </c>
      <c r="D130" s="43" t="s">
        <v>89</v>
      </c>
      <c r="E130" s="107" t="e">
        <f>#REF!</f>
        <v>#REF!</v>
      </c>
      <c r="F130" s="41" t="s">
        <v>101</v>
      </c>
      <c r="G130" s="107" t="e">
        <f>#REF!</f>
        <v>#REF!</v>
      </c>
      <c r="H130" s="41" t="s">
        <v>113</v>
      </c>
      <c r="J130" s="6" t="str">
        <f t="shared" ref="J130" si="42">IF(ISERR(FIND($J$15,C130,1)),"STOP","GO")</f>
        <v>STOP</v>
      </c>
      <c r="K130" s="6" t="str">
        <f t="shared" ref="K130" si="43">IF(ISERR(FIND($J$15,E130,1)),"STOP","GO")</f>
        <v>STOP</v>
      </c>
      <c r="L130" s="6" t="str">
        <f t="shared" ref="L130" si="44">IF(ISERR(FIND($J$15,G130,1)),"STOP","GO")</f>
        <v>STOP</v>
      </c>
    </row>
    <row r="131" spans="2:12" ht="4.95" customHeight="1" x14ac:dyDescent="0.3">
      <c r="B131" s="90"/>
      <c r="D131" s="43"/>
      <c r="F131" s="41"/>
      <c r="H131" s="41"/>
    </row>
    <row r="132" spans="2:12" x14ac:dyDescent="0.3">
      <c r="B132" s="90"/>
      <c r="C132" s="107" t="e">
        <f>#REF!</f>
        <v>#REF!</v>
      </c>
      <c r="D132" s="43" t="s">
        <v>90</v>
      </c>
      <c r="E132" s="107" t="e">
        <f>#REF!</f>
        <v>#REF!</v>
      </c>
      <c r="F132" s="41" t="s">
        <v>102</v>
      </c>
      <c r="G132" s="107" t="e">
        <f>#REF!</f>
        <v>#REF!</v>
      </c>
      <c r="H132" s="41" t="s">
        <v>114</v>
      </c>
      <c r="J132" s="6" t="str">
        <f t="shared" ref="J132" si="45">IF(ISERR(FIND($J$15,C132,1)),"STOP","GO")</f>
        <v>STOP</v>
      </c>
      <c r="K132" s="6" t="str">
        <f t="shared" ref="K132" si="46">IF(ISERR(FIND($J$15,E132,1)),"STOP","GO")</f>
        <v>STOP</v>
      </c>
      <c r="L132" s="6" t="str">
        <f t="shared" ref="L132" si="47">IF(ISERR(FIND($J$15,G132,1)),"STOP","GO")</f>
        <v>STOP</v>
      </c>
    </row>
    <row r="133" spans="2:12" ht="4.95" customHeight="1" x14ac:dyDescent="0.3">
      <c r="B133" s="90"/>
      <c r="D133" s="43"/>
      <c r="F133" s="41"/>
      <c r="H133" s="41"/>
    </row>
    <row r="134" spans="2:12" x14ac:dyDescent="0.3">
      <c r="B134" s="90"/>
      <c r="C134" s="107" t="e">
        <f>#REF!</f>
        <v>#REF!</v>
      </c>
      <c r="D134" s="43" t="s">
        <v>91</v>
      </c>
      <c r="E134" s="107" t="e">
        <f>#REF!</f>
        <v>#REF!</v>
      </c>
      <c r="F134" s="41" t="s">
        <v>103</v>
      </c>
      <c r="G134" s="107" t="e">
        <f>#REF!</f>
        <v>#REF!</v>
      </c>
      <c r="H134" s="41" t="s">
        <v>115</v>
      </c>
      <c r="J134" s="6" t="str">
        <f t="shared" ref="J134" si="48">IF(ISERR(FIND($J$15,C134,1)),"STOP","GO")</f>
        <v>STOP</v>
      </c>
      <c r="K134" s="6" t="str">
        <f t="shared" ref="K134" si="49">IF(ISERR(FIND($J$15,E134,1)),"STOP","GO")</f>
        <v>STOP</v>
      </c>
      <c r="L134" s="6" t="str">
        <f t="shared" ref="L134" si="50">IF(ISERR(FIND($J$15,G134,1)),"STOP","GO")</f>
        <v>STOP</v>
      </c>
    </row>
    <row r="135" spans="2:12" ht="4.95" customHeight="1" x14ac:dyDescent="0.3">
      <c r="B135" s="90"/>
      <c r="C135" s="42"/>
      <c r="D135" s="43"/>
      <c r="E135" s="42"/>
      <c r="F135" s="41"/>
      <c r="G135" s="42"/>
      <c r="H135" s="41"/>
    </row>
    <row r="136" spans="2:12" x14ac:dyDescent="0.3">
      <c r="B136" s="90"/>
      <c r="C136" s="107" t="e">
        <f>#REF!</f>
        <v>#REF!</v>
      </c>
      <c r="D136" s="43" t="s">
        <v>92</v>
      </c>
      <c r="E136" s="107" t="e">
        <f>#REF!</f>
        <v>#REF!</v>
      </c>
      <c r="F136" s="41" t="s">
        <v>104</v>
      </c>
      <c r="G136" s="107" t="e">
        <f>#REF!</f>
        <v>#REF!</v>
      </c>
      <c r="H136" s="41" t="s">
        <v>116</v>
      </c>
      <c r="J136" s="6" t="str">
        <f t="shared" ref="J136" si="51">IF(ISERR(FIND($J$15,C136,1)),"STOP","GO")</f>
        <v>STOP</v>
      </c>
      <c r="K136" s="6" t="str">
        <f t="shared" ref="K136" si="52">IF(ISERR(FIND($J$15,E136,1)),"STOP","GO")</f>
        <v>STOP</v>
      </c>
      <c r="L136" s="6" t="str">
        <f t="shared" ref="L136" si="53">IF(ISERR(FIND($J$15,G136,1)),"STOP","GO")</f>
        <v>STOP</v>
      </c>
    </row>
    <row r="137" spans="2:12" ht="4.95" customHeight="1" x14ac:dyDescent="0.3">
      <c r="B137" s="90"/>
      <c r="D137" s="43"/>
      <c r="F137" s="41"/>
      <c r="H137" s="41"/>
    </row>
    <row r="138" spans="2:12" x14ac:dyDescent="0.3">
      <c r="B138" s="90"/>
      <c r="C138" s="107" t="e">
        <f>#REF!</f>
        <v>#REF!</v>
      </c>
      <c r="D138" s="43" t="s">
        <v>93</v>
      </c>
      <c r="E138" s="107" t="e">
        <f>#REF!</f>
        <v>#REF!</v>
      </c>
      <c r="F138" s="41" t="s">
        <v>105</v>
      </c>
      <c r="G138" s="107" t="e">
        <f>#REF!</f>
        <v>#REF!</v>
      </c>
      <c r="H138" s="41" t="s">
        <v>117</v>
      </c>
      <c r="J138" s="6" t="str">
        <f t="shared" ref="J138" si="54">IF(ISERR(FIND($J$15,C138,1)),"STOP","GO")</f>
        <v>STOP</v>
      </c>
      <c r="K138" s="6" t="str">
        <f t="shared" ref="K138" si="55">IF(ISERR(FIND($J$15,E138,1)),"STOP","GO")</f>
        <v>STOP</v>
      </c>
      <c r="L138" s="6" t="str">
        <f t="shared" ref="L138" si="56">IF(ISERR(FIND($J$15,G138,1)),"STOP","GO")</f>
        <v>STOP</v>
      </c>
    </row>
    <row r="139" spans="2:12" ht="4.95" customHeight="1" x14ac:dyDescent="0.3">
      <c r="B139" s="90"/>
      <c r="C139" s="30"/>
      <c r="D139" s="34"/>
      <c r="E139" s="36"/>
      <c r="F139" s="30"/>
    </row>
    <row r="140" spans="2:12" ht="4.95" customHeight="1" x14ac:dyDescent="0.3">
      <c r="B140" s="90"/>
      <c r="C140" s="109"/>
      <c r="D140" s="109"/>
      <c r="E140" s="109"/>
      <c r="F140" s="109"/>
      <c r="G140" s="109"/>
      <c r="H140" s="109"/>
    </row>
    <row r="141" spans="2:12" s="18" customFormat="1" ht="4.95" customHeight="1" x14ac:dyDescent="0.3">
      <c r="B141" s="92"/>
      <c r="D141" s="40"/>
      <c r="E141" s="23"/>
      <c r="F141" s="24"/>
    </row>
    <row r="142" spans="2:12" x14ac:dyDescent="0.3">
      <c r="B142" s="90"/>
      <c r="C142" s="108" t="e">
        <f>#REF!</f>
        <v>#REF!</v>
      </c>
      <c r="D142" s="34" t="s">
        <v>118</v>
      </c>
      <c r="E142" s="36"/>
      <c r="F142" s="30"/>
      <c r="J142" s="145" t="str">
        <f>IF(COUNTIF(J146:J152,"GO")&gt;0,"","STOP")</f>
        <v>STOP</v>
      </c>
    </row>
    <row r="143" spans="2:12" ht="4.95" customHeight="1" x14ac:dyDescent="0.3">
      <c r="B143" s="90"/>
      <c r="C143" s="30"/>
      <c r="D143" s="34"/>
      <c r="E143" s="36"/>
      <c r="F143" s="30"/>
    </row>
    <row r="144" spans="2:12" ht="4.95" customHeight="1" x14ac:dyDescent="0.3">
      <c r="B144" s="90"/>
      <c r="C144" s="109"/>
      <c r="D144" s="109"/>
      <c r="E144" s="109"/>
      <c r="F144" s="109"/>
      <c r="G144" s="109"/>
      <c r="H144" s="109"/>
    </row>
    <row r="145" spans="2:13" s="18" customFormat="1" ht="4.95" customHeight="1" x14ac:dyDescent="0.3">
      <c r="B145" s="92"/>
      <c r="D145" s="40"/>
      <c r="E145" s="23"/>
      <c r="F145" s="24"/>
    </row>
    <row r="146" spans="2:13" x14ac:dyDescent="0.3">
      <c r="B146" s="90"/>
      <c r="C146" s="107" t="e">
        <f>#REF!</f>
        <v>#REF!</v>
      </c>
      <c r="D146" s="44" t="s">
        <v>122</v>
      </c>
      <c r="E146" s="45"/>
      <c r="F146" s="30"/>
      <c r="J146" s="6" t="str">
        <f t="shared" ref="J146" si="57">IF(ISERR(FIND($J$15,C146,1)),"STOP","GO")</f>
        <v>STOP</v>
      </c>
    </row>
    <row r="147" spans="2:13" ht="4.95" customHeight="1" x14ac:dyDescent="0.3">
      <c r="B147" s="90"/>
      <c r="D147" s="44"/>
      <c r="E147" s="45"/>
      <c r="F147" s="30"/>
    </row>
    <row r="148" spans="2:13" x14ac:dyDescent="0.3">
      <c r="B148" s="90"/>
      <c r="C148" s="107" t="e">
        <f>#REF!</f>
        <v>#REF!</v>
      </c>
      <c r="D148" s="26" t="s">
        <v>119</v>
      </c>
      <c r="E148" s="46"/>
      <c r="F148" s="30"/>
      <c r="J148" s="6" t="str">
        <f t="shared" ref="J148" si="58">IF(ISERR(FIND($J$15,C148,1)),"STOP","GO")</f>
        <v>STOP</v>
      </c>
    </row>
    <row r="149" spans="2:13" ht="4.95" customHeight="1" x14ac:dyDescent="0.3">
      <c r="B149" s="90"/>
      <c r="C149" s="42"/>
      <c r="D149" s="26"/>
      <c r="E149" s="46"/>
      <c r="F149" s="30"/>
    </row>
    <row r="150" spans="2:13" x14ac:dyDescent="0.3">
      <c r="B150" s="90"/>
      <c r="C150" s="107" t="e">
        <f>#REF!</f>
        <v>#REF!</v>
      </c>
      <c r="D150" s="26" t="s">
        <v>120</v>
      </c>
      <c r="E150" s="46"/>
      <c r="F150" s="30"/>
      <c r="J150" s="6" t="str">
        <f t="shared" ref="J150" si="59">IF(ISERR(FIND($J$15,C150,1)),"STOP","GO")</f>
        <v>STOP</v>
      </c>
    </row>
    <row r="151" spans="2:13" ht="4.95" customHeight="1" x14ac:dyDescent="0.3">
      <c r="B151" s="90"/>
      <c r="D151" s="26"/>
      <c r="E151" s="46"/>
      <c r="F151" s="30"/>
    </row>
    <row r="152" spans="2:13" x14ac:dyDescent="0.3">
      <c r="B152" s="90"/>
      <c r="C152" s="107" t="e">
        <f>#REF!</f>
        <v>#REF!</v>
      </c>
      <c r="D152" s="26" t="s">
        <v>121</v>
      </c>
      <c r="E152" s="46"/>
      <c r="F152" s="30"/>
      <c r="J152" s="6" t="str">
        <f t="shared" ref="J152" si="60">IF(ISERR(FIND($J$15,C152,1)),"STOP","GO")</f>
        <v>STOP</v>
      </c>
    </row>
    <row r="153" spans="2:13" collapsed="1" x14ac:dyDescent="0.3">
      <c r="B153" s="90"/>
    </row>
    <row r="154" spans="2:13" x14ac:dyDescent="0.3">
      <c r="B154" s="88" t="s">
        <v>123</v>
      </c>
      <c r="C154" s="8"/>
      <c r="D154" s="110" t="e">
        <f>IF(ISBLANK(#REF!),"",#REF!)</f>
        <v>#REF!</v>
      </c>
      <c r="E154" s="47"/>
      <c r="J154" s="146" t="str">
        <f>IF(ISBLANK(D154),"STOP","")</f>
        <v/>
      </c>
      <c r="M154" s="6" t="str">
        <f>J154</f>
        <v/>
      </c>
    </row>
    <row r="155" spans="2:13" x14ac:dyDescent="0.3">
      <c r="B155" s="90"/>
      <c r="E155" s="12"/>
    </row>
    <row r="156" spans="2:13" x14ac:dyDescent="0.3">
      <c r="B156" s="88" t="s">
        <v>124</v>
      </c>
      <c r="C156" s="8"/>
      <c r="D156" s="111" t="e">
        <f>IF(ISBLANK(#REF!),"",#REF!)</f>
        <v>#REF!</v>
      </c>
      <c r="E156" s="48"/>
      <c r="J156" s="146" t="str">
        <f>IF(ISBLANK(D156),"STOP","")</f>
        <v/>
      </c>
      <c r="M156" s="6" t="str">
        <f>J156</f>
        <v/>
      </c>
    </row>
    <row r="157" spans="2:13" x14ac:dyDescent="0.3">
      <c r="B157" s="90"/>
      <c r="E157" s="12"/>
    </row>
    <row r="158" spans="2:13" x14ac:dyDescent="0.3">
      <c r="B158" s="93" t="s">
        <v>125</v>
      </c>
      <c r="C158" s="49"/>
      <c r="D158" s="111" t="e">
        <f>IF(ISBLANK(#REF!),"",#REF!)</f>
        <v>#REF!</v>
      </c>
      <c r="E158" s="48"/>
      <c r="J158" s="146" t="str">
        <f>IF(ISBLANK(D158),"STOP","")</f>
        <v/>
      </c>
      <c r="M158" s="6" t="str">
        <f>J158</f>
        <v/>
      </c>
    </row>
    <row r="159" spans="2:13" x14ac:dyDescent="0.3">
      <c r="B159" s="90"/>
      <c r="E159" s="12"/>
    </row>
    <row r="160" spans="2:13" x14ac:dyDescent="0.3">
      <c r="B160" s="93" t="s">
        <v>126</v>
      </c>
      <c r="C160" s="49"/>
      <c r="D160" s="107" t="e">
        <f>#REF!</f>
        <v>#REF!</v>
      </c>
      <c r="E160" s="12"/>
    </row>
    <row r="161" spans="2:13" x14ac:dyDescent="0.3">
      <c r="B161" s="90"/>
    </row>
    <row r="162" spans="2:13" x14ac:dyDescent="0.3">
      <c r="B162" s="93" t="s">
        <v>127</v>
      </c>
      <c r="C162" s="49"/>
      <c r="D162" s="15" t="s">
        <v>385</v>
      </c>
      <c r="E162" s="15"/>
    </row>
    <row r="163" spans="2:13" x14ac:dyDescent="0.3">
      <c r="B163" s="90"/>
    </row>
    <row r="164" spans="2:13" x14ac:dyDescent="0.3">
      <c r="B164" s="90"/>
      <c r="C164" s="107" t="e">
        <f>#REF!</f>
        <v>#REF!</v>
      </c>
      <c r="D164" s="17" t="s">
        <v>355</v>
      </c>
      <c r="E164" s="17"/>
    </row>
    <row r="165" spans="2:13" ht="4.95" customHeight="1" x14ac:dyDescent="0.3">
      <c r="B165" s="90"/>
      <c r="D165" s="17"/>
      <c r="E165" s="17"/>
    </row>
    <row r="166" spans="2:13" x14ac:dyDescent="0.3">
      <c r="B166" s="90"/>
      <c r="C166" s="107" t="e">
        <f>#REF!</f>
        <v>#REF!</v>
      </c>
      <c r="D166" s="17" t="s">
        <v>356</v>
      </c>
      <c r="E166" s="17"/>
    </row>
    <row r="167" spans="2:13" ht="4.95" customHeight="1" x14ac:dyDescent="0.3">
      <c r="B167" s="90"/>
      <c r="D167" s="17"/>
      <c r="E167" s="17"/>
    </row>
    <row r="168" spans="2:13" x14ac:dyDescent="0.3">
      <c r="B168" s="90"/>
      <c r="C168" s="107" t="e">
        <f>#REF!</f>
        <v>#REF!</v>
      </c>
      <c r="D168" s="17" t="s">
        <v>357</v>
      </c>
      <c r="E168" s="17"/>
    </row>
    <row r="169" spans="2:13" ht="4.95" customHeight="1" x14ac:dyDescent="0.3">
      <c r="B169" s="90"/>
      <c r="D169" s="17"/>
      <c r="E169" s="17"/>
    </row>
    <row r="170" spans="2:13" x14ac:dyDescent="0.3">
      <c r="B170" s="90"/>
      <c r="C170" s="107" t="e">
        <f>#REF!</f>
        <v>#REF!</v>
      </c>
      <c r="D170" s="17" t="s">
        <v>155</v>
      </c>
      <c r="E170" s="17"/>
    </row>
    <row r="171" spans="2:13" x14ac:dyDescent="0.3">
      <c r="B171" s="90"/>
    </row>
    <row r="172" spans="2:13" x14ac:dyDescent="0.3">
      <c r="B172" s="94" t="s">
        <v>128</v>
      </c>
      <c r="C172" s="50"/>
      <c r="D172" s="15" t="s">
        <v>386</v>
      </c>
      <c r="E172" s="15"/>
    </row>
    <row r="173" spans="2:13" ht="4.95" customHeight="1" x14ac:dyDescent="0.3">
      <c r="B173" s="90"/>
      <c r="C173" s="30"/>
      <c r="D173" s="34"/>
      <c r="E173" s="36"/>
      <c r="F173" s="30"/>
    </row>
    <row r="174" spans="2:13" ht="4.95" customHeight="1" x14ac:dyDescent="0.3">
      <c r="B174" s="90"/>
      <c r="C174" s="109"/>
      <c r="D174" s="109"/>
      <c r="E174" s="109"/>
      <c r="F174" s="109"/>
      <c r="G174" s="109"/>
      <c r="H174" s="109"/>
    </row>
    <row r="175" spans="2:13" s="18" customFormat="1" ht="4.95" customHeight="1" x14ac:dyDescent="0.3">
      <c r="B175" s="92"/>
      <c r="D175" s="40"/>
      <c r="E175" s="23"/>
      <c r="F175" s="24"/>
    </row>
    <row r="176" spans="2:13" x14ac:dyDescent="0.3">
      <c r="B176" s="90"/>
      <c r="C176" s="108" t="e">
        <f>#REF!</f>
        <v>#REF!</v>
      </c>
      <c r="D176" s="34" t="s">
        <v>361</v>
      </c>
      <c r="E176" s="36"/>
      <c r="F176" s="30"/>
      <c r="J176" s="145" t="str">
        <f>IF(COUNTIF(J180:L196,"GO")&gt;0,"","STOP")</f>
        <v>STOP</v>
      </c>
      <c r="M176" s="6" t="str">
        <f>J176</f>
        <v>STOP</v>
      </c>
    </row>
    <row r="177" spans="2:12" ht="4.95" customHeight="1" x14ac:dyDescent="0.3">
      <c r="B177" s="90"/>
      <c r="C177" s="30"/>
      <c r="D177" s="34"/>
      <c r="E177" s="36"/>
      <c r="F177" s="30"/>
    </row>
    <row r="178" spans="2:12" ht="4.95" customHeight="1" x14ac:dyDescent="0.3">
      <c r="B178" s="90"/>
      <c r="C178" s="109"/>
      <c r="D178" s="109"/>
      <c r="E178" s="109"/>
      <c r="F178" s="109"/>
      <c r="G178" s="109"/>
      <c r="H178" s="109"/>
    </row>
    <row r="179" spans="2:12" s="18" customFormat="1" ht="4.95" customHeight="1" x14ac:dyDescent="0.3">
      <c r="B179" s="92"/>
      <c r="D179" s="40"/>
      <c r="E179" s="23"/>
      <c r="F179" s="24"/>
    </row>
    <row r="180" spans="2:12" x14ac:dyDescent="0.3">
      <c r="B180" s="90"/>
      <c r="C180" s="107" t="e">
        <f>#REF!</f>
        <v>#REF!</v>
      </c>
      <c r="D180" s="43" t="s">
        <v>157</v>
      </c>
      <c r="E180" s="107" t="e">
        <f>#REF!</f>
        <v>#REF!</v>
      </c>
      <c r="F180" s="43" t="s">
        <v>166</v>
      </c>
      <c r="G180" s="107" t="e">
        <f>#REF!</f>
        <v>#REF!</v>
      </c>
      <c r="H180" s="41" t="s">
        <v>175</v>
      </c>
      <c r="J180" s="6" t="str">
        <f t="shared" ref="J180" si="61">IF(ISERR(FIND($J$15,C180,1)),"STOP","GO")</f>
        <v>STOP</v>
      </c>
      <c r="K180" s="6" t="str">
        <f t="shared" ref="K180" si="62">IF(ISERR(FIND($J$15,E180,1)),"STOP","GO")</f>
        <v>STOP</v>
      </c>
      <c r="L180" s="6" t="str">
        <f t="shared" ref="L180" si="63">IF(ISERR(FIND($J$15,G180,1)),"STOP","GO")</f>
        <v>STOP</v>
      </c>
    </row>
    <row r="181" spans="2:12" ht="4.95" customHeight="1" x14ac:dyDescent="0.3">
      <c r="B181" s="90"/>
      <c r="D181" s="43"/>
      <c r="F181" s="43"/>
      <c r="H181" s="41"/>
    </row>
    <row r="182" spans="2:12" x14ac:dyDescent="0.3">
      <c r="B182" s="90"/>
      <c r="C182" s="107" t="e">
        <f>#REF!</f>
        <v>#REF!</v>
      </c>
      <c r="D182" s="43" t="s">
        <v>158</v>
      </c>
      <c r="E182" s="107" t="e">
        <f>#REF!</f>
        <v>#REF!</v>
      </c>
      <c r="F182" s="43" t="s">
        <v>167</v>
      </c>
      <c r="G182" s="107" t="e">
        <f>#REF!</f>
        <v>#REF!</v>
      </c>
      <c r="H182" s="41" t="s">
        <v>176</v>
      </c>
      <c r="J182" s="6" t="str">
        <f>IF(ISERR(FIND($J$15,C182,1)),"STOP","GO")</f>
        <v>STOP</v>
      </c>
      <c r="K182" s="6" t="str">
        <f t="shared" ref="K182" si="64">IF(ISERR(FIND($J$15,E182,1)),"STOP","GO")</f>
        <v>STOP</v>
      </c>
      <c r="L182" s="6" t="str">
        <f t="shared" ref="L182" si="65">IF(ISERR(FIND($J$15,G182,1)),"STOP","GO")</f>
        <v>STOP</v>
      </c>
    </row>
    <row r="183" spans="2:12" ht="4.95" customHeight="1" x14ac:dyDescent="0.3">
      <c r="B183" s="90"/>
      <c r="D183" s="43"/>
      <c r="F183" s="43"/>
      <c r="H183" s="41"/>
    </row>
    <row r="184" spans="2:12" x14ac:dyDescent="0.3">
      <c r="B184" s="90"/>
      <c r="C184" s="107" t="e">
        <f>#REF!</f>
        <v>#REF!</v>
      </c>
      <c r="D184" s="43" t="s">
        <v>159</v>
      </c>
      <c r="E184" s="107" t="e">
        <f>#REF!</f>
        <v>#REF!</v>
      </c>
      <c r="F184" s="43" t="s">
        <v>168</v>
      </c>
      <c r="G184" s="107" t="e">
        <f>#REF!</f>
        <v>#REF!</v>
      </c>
      <c r="H184" s="41" t="s">
        <v>177</v>
      </c>
      <c r="J184" s="6" t="str">
        <f t="shared" ref="J184" si="66">IF(ISERR(FIND($J$15,C184,1)),"STOP","GO")</f>
        <v>STOP</v>
      </c>
      <c r="K184" s="6" t="str">
        <f t="shared" ref="K184" si="67">IF(ISERR(FIND($J$15,E184,1)),"STOP","GO")</f>
        <v>STOP</v>
      </c>
      <c r="L184" s="6" t="str">
        <f t="shared" ref="L184" si="68">IF(ISERR(FIND($J$15,G184,1)),"STOP","GO")</f>
        <v>STOP</v>
      </c>
    </row>
    <row r="185" spans="2:12" ht="4.95" customHeight="1" x14ac:dyDescent="0.3">
      <c r="B185" s="90"/>
      <c r="C185" s="42"/>
      <c r="D185" s="43"/>
      <c r="E185" s="42"/>
      <c r="F185" s="43"/>
      <c r="G185" s="42"/>
      <c r="H185" s="41"/>
    </row>
    <row r="186" spans="2:12" x14ac:dyDescent="0.3">
      <c r="B186" s="90"/>
      <c r="C186" s="107" t="e">
        <f>#REF!</f>
        <v>#REF!</v>
      </c>
      <c r="D186" s="43" t="s">
        <v>160</v>
      </c>
      <c r="E186" s="107" t="e">
        <f>#REF!</f>
        <v>#REF!</v>
      </c>
      <c r="F186" s="43" t="s">
        <v>169</v>
      </c>
      <c r="G186" s="107" t="e">
        <f>#REF!</f>
        <v>#REF!</v>
      </c>
      <c r="H186" s="41" t="s">
        <v>178</v>
      </c>
      <c r="J186" s="6" t="str">
        <f t="shared" ref="J186" si="69">IF(ISERR(FIND($J$15,C186,1)),"STOP","GO")</f>
        <v>STOP</v>
      </c>
      <c r="K186" s="6" t="str">
        <f t="shared" ref="K186" si="70">IF(ISERR(FIND($J$15,E186,1)),"STOP","GO")</f>
        <v>STOP</v>
      </c>
      <c r="L186" s="6" t="str">
        <f t="shared" ref="L186" si="71">IF(ISERR(FIND($J$15,G186,1)),"STOP","GO")</f>
        <v>STOP</v>
      </c>
    </row>
    <row r="187" spans="2:12" ht="4.95" customHeight="1" x14ac:dyDescent="0.3">
      <c r="B187" s="90"/>
      <c r="D187" s="43"/>
      <c r="F187" s="43"/>
      <c r="H187" s="41"/>
    </row>
    <row r="188" spans="2:12" x14ac:dyDescent="0.3">
      <c r="B188" s="90"/>
      <c r="C188" s="107" t="e">
        <f>#REF!</f>
        <v>#REF!</v>
      </c>
      <c r="D188" s="43" t="s">
        <v>161</v>
      </c>
      <c r="E188" s="107" t="e">
        <f>#REF!</f>
        <v>#REF!</v>
      </c>
      <c r="F188" s="43" t="s">
        <v>170</v>
      </c>
      <c r="G188" s="107" t="e">
        <f>#REF!</f>
        <v>#REF!</v>
      </c>
      <c r="H188" s="41" t="s">
        <v>179</v>
      </c>
      <c r="J188" s="6" t="str">
        <f t="shared" ref="J188" si="72">IF(ISERR(FIND($J$15,C188,1)),"STOP","GO")</f>
        <v>STOP</v>
      </c>
      <c r="K188" s="6" t="str">
        <f t="shared" ref="K188" si="73">IF(ISERR(FIND($J$15,E188,1)),"STOP","GO")</f>
        <v>STOP</v>
      </c>
      <c r="L188" s="6" t="str">
        <f t="shared" ref="L188" si="74">IF(ISERR(FIND($J$15,G188,1)),"STOP","GO")</f>
        <v>STOP</v>
      </c>
    </row>
    <row r="189" spans="2:12" ht="4.95" customHeight="1" x14ac:dyDescent="0.3">
      <c r="B189" s="90"/>
      <c r="D189" s="43"/>
      <c r="F189" s="43"/>
      <c r="H189" s="41"/>
    </row>
    <row r="190" spans="2:12" x14ac:dyDescent="0.3">
      <c r="B190" s="90"/>
      <c r="C190" s="107" t="e">
        <f>#REF!</f>
        <v>#REF!</v>
      </c>
      <c r="D190" s="43" t="s">
        <v>162</v>
      </c>
      <c r="E190" s="107" t="e">
        <f>#REF!</f>
        <v>#REF!</v>
      </c>
      <c r="F190" s="43" t="s">
        <v>171</v>
      </c>
      <c r="G190" s="107" t="e">
        <f>#REF!</f>
        <v>#REF!</v>
      </c>
      <c r="H190" s="41" t="s">
        <v>180</v>
      </c>
      <c r="J190" s="6" t="str">
        <f t="shared" ref="J190" si="75">IF(ISERR(FIND($J$15,C190,1)),"STOP","GO")</f>
        <v>STOP</v>
      </c>
      <c r="K190" s="6" t="str">
        <f t="shared" ref="K190" si="76">IF(ISERR(FIND($J$15,E190,1)),"STOP","GO")</f>
        <v>STOP</v>
      </c>
      <c r="L190" s="6" t="str">
        <f t="shared" ref="L190" si="77">IF(ISERR(FIND($J$15,G190,1)),"STOP","GO")</f>
        <v>STOP</v>
      </c>
    </row>
    <row r="191" spans="2:12" ht="4.95" customHeight="1" x14ac:dyDescent="0.3">
      <c r="B191" s="90"/>
      <c r="D191" s="43"/>
      <c r="F191" s="43"/>
      <c r="H191" s="41"/>
    </row>
    <row r="192" spans="2:12" x14ac:dyDescent="0.3">
      <c r="B192" s="90"/>
      <c r="C192" s="107" t="e">
        <f>#REF!</f>
        <v>#REF!</v>
      </c>
      <c r="D192" s="43" t="s">
        <v>163</v>
      </c>
      <c r="E192" s="107" t="e">
        <f>#REF!</f>
        <v>#REF!</v>
      </c>
      <c r="F192" s="43" t="s">
        <v>172</v>
      </c>
      <c r="G192" s="107" t="e">
        <f>#REF!</f>
        <v>#REF!</v>
      </c>
      <c r="H192" s="41" t="s">
        <v>181</v>
      </c>
      <c r="J192" s="6" t="str">
        <f>IF(ISERR(FIND($J$15,C192,1)),"STOP","GO")</f>
        <v>STOP</v>
      </c>
      <c r="K192" s="6" t="str">
        <f t="shared" ref="K192" si="78">IF(ISERR(FIND($J$15,E192,1)),"STOP","GO")</f>
        <v>STOP</v>
      </c>
      <c r="L192" s="6" t="str">
        <f t="shared" ref="L192" si="79">IF(ISERR(FIND($J$15,G192,1)),"STOP","GO")</f>
        <v>STOP</v>
      </c>
    </row>
    <row r="193" spans="2:12" ht="4.95" customHeight="1" x14ac:dyDescent="0.3">
      <c r="B193" s="90"/>
      <c r="D193" s="43"/>
      <c r="F193" s="43"/>
      <c r="H193" s="41"/>
    </row>
    <row r="194" spans="2:12" x14ac:dyDescent="0.3">
      <c r="B194" s="90"/>
      <c r="C194" s="107" t="e">
        <f>#REF!</f>
        <v>#REF!</v>
      </c>
      <c r="D194" s="43" t="s">
        <v>164</v>
      </c>
      <c r="E194" s="107" t="e">
        <f>#REF!</f>
        <v>#REF!</v>
      </c>
      <c r="F194" s="43" t="s">
        <v>173</v>
      </c>
      <c r="G194" s="107" t="e">
        <f>#REF!</f>
        <v>#REF!</v>
      </c>
      <c r="H194" s="41" t="s">
        <v>182</v>
      </c>
      <c r="J194" s="6" t="str">
        <f t="shared" ref="J194" si="80">IF(ISERR(FIND($J$15,C194,1)),"STOP","GO")</f>
        <v>STOP</v>
      </c>
      <c r="K194" s="6" t="str">
        <f t="shared" ref="K194" si="81">IF(ISERR(FIND($J$15,E194,1)),"STOP","GO")</f>
        <v>STOP</v>
      </c>
      <c r="L194" s="6" t="str">
        <f t="shared" ref="L194" si="82">IF(ISERR(FIND($J$15,G194,1)),"STOP","GO")</f>
        <v>STOP</v>
      </c>
    </row>
    <row r="195" spans="2:12" ht="4.95" customHeight="1" x14ac:dyDescent="0.3">
      <c r="B195" s="90"/>
      <c r="D195" s="43"/>
      <c r="F195" s="43"/>
      <c r="H195" s="41"/>
    </row>
    <row r="196" spans="2:12" x14ac:dyDescent="0.3">
      <c r="B196" s="90"/>
      <c r="C196" s="107" t="e">
        <f>#REF!</f>
        <v>#REF!</v>
      </c>
      <c r="D196" s="43" t="s">
        <v>165</v>
      </c>
      <c r="E196" s="107" t="e">
        <f>#REF!</f>
        <v>#REF!</v>
      </c>
      <c r="F196" s="43" t="s">
        <v>174</v>
      </c>
      <c r="G196" s="30"/>
      <c r="H196" s="41"/>
      <c r="J196" s="6" t="str">
        <f t="shared" ref="J196" si="83">IF(ISERR(FIND($J$15,C196,1)),"STOP","GO")</f>
        <v>STOP</v>
      </c>
      <c r="K196" s="6" t="str">
        <f t="shared" ref="K196" si="84">IF(ISERR(FIND($J$15,E196,1)),"STOP","GO")</f>
        <v>STOP</v>
      </c>
      <c r="L196" s="6" t="str">
        <f t="shared" ref="L196" si="85">IF(ISERR(FIND($J$15,G196,1)),"STOP","GO")</f>
        <v>STOP</v>
      </c>
    </row>
    <row r="197" spans="2:12" x14ac:dyDescent="0.3">
      <c r="B197" s="90"/>
    </row>
    <row r="198" spans="2:12" x14ac:dyDescent="0.3">
      <c r="B198" s="93" t="s">
        <v>340</v>
      </c>
      <c r="C198" s="49"/>
      <c r="D198" s="15"/>
      <c r="E198" s="15"/>
    </row>
    <row r="199" spans="2:12" x14ac:dyDescent="0.3">
      <c r="B199" s="90"/>
    </row>
    <row r="200" spans="2:12" x14ac:dyDescent="0.3">
      <c r="B200" s="90"/>
      <c r="C200" s="107" t="e">
        <f>#REF!</f>
        <v>#REF!</v>
      </c>
      <c r="D200" s="17" t="s">
        <v>184</v>
      </c>
      <c r="E200" s="17"/>
    </row>
    <row r="201" spans="2:12" ht="4.95" customHeight="1" x14ac:dyDescent="0.3">
      <c r="B201" s="90"/>
      <c r="D201" s="17"/>
      <c r="E201" s="17"/>
    </row>
    <row r="202" spans="2:12" x14ac:dyDescent="0.3">
      <c r="B202" s="90"/>
      <c r="C202" s="107" t="e">
        <f>#REF!</f>
        <v>#REF!</v>
      </c>
      <c r="D202" s="17">
        <v>2</v>
      </c>
      <c r="E202" s="17"/>
    </row>
    <row r="203" spans="2:12" ht="4.95" customHeight="1" x14ac:dyDescent="0.3">
      <c r="B203" s="90"/>
      <c r="D203" s="17"/>
      <c r="E203" s="17"/>
    </row>
    <row r="204" spans="2:12" x14ac:dyDescent="0.3">
      <c r="B204" s="90"/>
      <c r="C204" s="107" t="e">
        <f>#REF!</f>
        <v>#REF!</v>
      </c>
      <c r="D204" s="17">
        <v>3</v>
      </c>
      <c r="E204" s="17"/>
    </row>
    <row r="205" spans="2:12" ht="4.95" customHeight="1" x14ac:dyDescent="0.3">
      <c r="B205" s="90"/>
      <c r="D205" s="17"/>
      <c r="E205" s="17"/>
    </row>
    <row r="206" spans="2:12" x14ac:dyDescent="0.3">
      <c r="B206" s="90"/>
      <c r="C206" s="107" t="e">
        <f>#REF!</f>
        <v>#REF!</v>
      </c>
      <c r="D206" s="17">
        <v>4</v>
      </c>
      <c r="E206" s="17"/>
    </row>
    <row r="207" spans="2:12" ht="4.95" customHeight="1" x14ac:dyDescent="0.3">
      <c r="B207" s="90"/>
      <c r="D207" s="17"/>
      <c r="E207" s="17"/>
    </row>
    <row r="208" spans="2:12" x14ac:dyDescent="0.3">
      <c r="B208" s="90"/>
      <c r="C208" s="107" t="e">
        <f>#REF!</f>
        <v>#REF!</v>
      </c>
      <c r="D208" s="17" t="s">
        <v>186</v>
      </c>
      <c r="E208" s="17"/>
    </row>
    <row r="209" spans="2:13" x14ac:dyDescent="0.3">
      <c r="B209" s="90"/>
    </row>
    <row r="210" spans="2:13" x14ac:dyDescent="0.3">
      <c r="B210" s="93" t="s">
        <v>129</v>
      </c>
      <c r="C210" s="49"/>
      <c r="D210" s="15" t="s">
        <v>362</v>
      </c>
    </row>
    <row r="211" spans="2:13" ht="4.95" customHeight="1" x14ac:dyDescent="0.3">
      <c r="B211" s="90"/>
      <c r="C211" s="30"/>
      <c r="D211" s="34"/>
      <c r="E211" s="36"/>
      <c r="F211" s="30"/>
    </row>
    <row r="212" spans="2:13" ht="4.95" customHeight="1" x14ac:dyDescent="0.3">
      <c r="B212" s="90"/>
      <c r="C212" s="109"/>
      <c r="D212" s="109"/>
      <c r="E212" s="109"/>
      <c r="F212" s="109"/>
      <c r="G212" s="109"/>
      <c r="H212" s="109"/>
    </row>
    <row r="213" spans="2:13" s="18" customFormat="1" ht="4.95" customHeight="1" x14ac:dyDescent="0.3">
      <c r="B213" s="92"/>
      <c r="D213" s="40"/>
      <c r="E213" s="23"/>
      <c r="F213" s="24"/>
    </row>
    <row r="214" spans="2:13" x14ac:dyDescent="0.3">
      <c r="B214" s="90"/>
      <c r="C214" s="108" t="e">
        <f>#REF!</f>
        <v>#REF!</v>
      </c>
      <c r="D214" s="34" t="s">
        <v>361</v>
      </c>
      <c r="E214" s="36"/>
      <c r="F214" s="30"/>
      <c r="J214" s="145" t="str">
        <f>IF(COUNTIF(J218:L228,"GO")&gt;0,"","STOP")</f>
        <v>STOP</v>
      </c>
      <c r="M214" s="6" t="str">
        <f>J214</f>
        <v>STOP</v>
      </c>
    </row>
    <row r="215" spans="2:13" ht="4.95" customHeight="1" x14ac:dyDescent="0.3">
      <c r="B215" s="90"/>
      <c r="C215" s="30"/>
      <c r="D215" s="34"/>
      <c r="E215" s="36"/>
      <c r="F215" s="30"/>
    </row>
    <row r="216" spans="2:13" ht="4.95" customHeight="1" x14ac:dyDescent="0.3">
      <c r="B216" s="90"/>
      <c r="C216" s="109"/>
      <c r="D216" s="109"/>
      <c r="E216" s="109"/>
      <c r="F216" s="109"/>
      <c r="G216" s="109"/>
      <c r="H216" s="109"/>
    </row>
    <row r="217" spans="2:13" s="18" customFormat="1" ht="4.95" customHeight="1" x14ac:dyDescent="0.3">
      <c r="B217" s="92"/>
      <c r="D217" s="40"/>
      <c r="E217" s="23"/>
      <c r="F217" s="24"/>
    </row>
    <row r="218" spans="2:13" x14ac:dyDescent="0.3">
      <c r="B218" s="90"/>
      <c r="C218" s="107" t="e">
        <f>#REF!</f>
        <v>#REF!</v>
      </c>
      <c r="D218" s="43" t="s">
        <v>187</v>
      </c>
      <c r="E218" s="107" t="e">
        <f>#REF!</f>
        <v>#REF!</v>
      </c>
      <c r="F218" s="43" t="s">
        <v>363</v>
      </c>
      <c r="G218" s="107" t="e">
        <f>#REF!</f>
        <v>#REF!</v>
      </c>
      <c r="H218" s="41" t="s">
        <v>193</v>
      </c>
      <c r="J218" s="6" t="str">
        <f t="shared" ref="J218" si="86">IF(ISERR(FIND($J$15,C218,1)),"STOP","GO")</f>
        <v>STOP</v>
      </c>
      <c r="K218" s="6" t="str">
        <f t="shared" ref="K218" si="87">IF(ISERR(FIND($J$15,E218,1)),"STOP","GO")</f>
        <v>STOP</v>
      </c>
      <c r="L218" s="6" t="str">
        <f t="shared" ref="L218" si="88">IF(ISERR(FIND($J$15,G218,1)),"STOP","GO")</f>
        <v>STOP</v>
      </c>
    </row>
    <row r="219" spans="2:13" ht="4.95" customHeight="1" x14ac:dyDescent="0.3">
      <c r="B219" s="90"/>
      <c r="D219" s="43"/>
      <c r="F219" s="43" t="s">
        <v>364</v>
      </c>
      <c r="H219" s="41"/>
    </row>
    <row r="220" spans="2:13" x14ac:dyDescent="0.3">
      <c r="B220" s="90"/>
      <c r="C220" s="107" t="e">
        <f>#REF!</f>
        <v>#REF!</v>
      </c>
      <c r="D220" s="43" t="s">
        <v>188</v>
      </c>
      <c r="E220" s="107" t="e">
        <f>#REF!</f>
        <v>#REF!</v>
      </c>
      <c r="F220" s="43" t="s">
        <v>190</v>
      </c>
      <c r="G220" s="107" t="e">
        <f>#REF!</f>
        <v>#REF!</v>
      </c>
      <c r="H220" s="41" t="s">
        <v>351</v>
      </c>
      <c r="J220" s="6" t="str">
        <f>IF(ISERR(FIND($J$15,C220,1)),"STOP","GO")</f>
        <v>STOP</v>
      </c>
      <c r="K220" s="6" t="str">
        <f t="shared" ref="K220" si="89">IF(ISERR(FIND($J$15,E220,1)),"STOP","GO")</f>
        <v>STOP</v>
      </c>
      <c r="L220" s="6" t="str">
        <f t="shared" ref="L220" si="90">IF(ISERR(FIND($J$15,G220,1)),"STOP","GO")</f>
        <v>STOP</v>
      </c>
    </row>
    <row r="221" spans="2:13" ht="4.95" customHeight="1" x14ac:dyDescent="0.3">
      <c r="B221" s="90"/>
      <c r="D221" s="43"/>
      <c r="F221" s="43"/>
      <c r="H221" s="41"/>
    </row>
    <row r="222" spans="2:13" x14ac:dyDescent="0.3">
      <c r="B222" s="90"/>
      <c r="C222" s="107" t="e">
        <f>#REF!</f>
        <v>#REF!</v>
      </c>
      <c r="D222" s="43" t="s">
        <v>345</v>
      </c>
      <c r="E222" s="107" t="e">
        <f>#REF!</f>
        <v>#REF!</v>
      </c>
      <c r="F222" s="43" t="s">
        <v>365</v>
      </c>
      <c r="G222" s="107" t="e">
        <f>#REF!</f>
        <v>#REF!</v>
      </c>
      <c r="H222" s="41" t="s">
        <v>367</v>
      </c>
      <c r="J222" s="6" t="str">
        <f t="shared" ref="J222" si="91">IF(ISERR(FIND($J$15,C222,1)),"STOP","GO")</f>
        <v>STOP</v>
      </c>
      <c r="K222" s="6" t="str">
        <f t="shared" ref="K222" si="92">IF(ISERR(FIND($J$15,E222,1)),"STOP","GO")</f>
        <v>STOP</v>
      </c>
      <c r="L222" s="6" t="str">
        <f t="shared" ref="L222" si="93">IF(ISERR(FIND($J$15,G222,1)),"STOP","GO")</f>
        <v>STOP</v>
      </c>
    </row>
    <row r="223" spans="2:13" ht="4.95" customHeight="1" x14ac:dyDescent="0.3">
      <c r="B223" s="90"/>
      <c r="C223" s="42"/>
      <c r="D223" s="43"/>
      <c r="E223" s="42"/>
      <c r="F223" s="43" t="s">
        <v>364</v>
      </c>
      <c r="G223" s="42"/>
      <c r="H223" s="41"/>
    </row>
    <row r="224" spans="2:13" x14ac:dyDescent="0.3">
      <c r="B224" s="90"/>
      <c r="C224" s="107" t="e">
        <f>#REF!</f>
        <v>#REF!</v>
      </c>
      <c r="D224" s="43" t="s">
        <v>346</v>
      </c>
      <c r="E224" s="107" t="e">
        <f>#REF!</f>
        <v>#REF!</v>
      </c>
      <c r="F224" s="43" t="s">
        <v>191</v>
      </c>
      <c r="G224" s="107" t="e">
        <f>#REF!</f>
        <v>#REF!</v>
      </c>
      <c r="H224" s="41" t="s">
        <v>194</v>
      </c>
      <c r="J224" s="6" t="str">
        <f>IF(ISERR(FIND($J$15,C224,1)),"STOP","GO")</f>
        <v>STOP</v>
      </c>
      <c r="K224" s="6" t="str">
        <f t="shared" ref="K224" si="94">IF(ISERR(FIND($J$15,E224,1)),"STOP","GO")</f>
        <v>STOP</v>
      </c>
      <c r="L224" s="6" t="str">
        <f t="shared" ref="L224" si="95">IF(ISERR(FIND($J$15,G224,1)),"STOP","GO")</f>
        <v>STOP</v>
      </c>
    </row>
    <row r="225" spans="2:12" ht="4.95" customHeight="1" x14ac:dyDescent="0.3">
      <c r="B225" s="90"/>
      <c r="D225" s="43"/>
      <c r="F225" s="43"/>
      <c r="H225" s="41"/>
    </row>
    <row r="226" spans="2:12" x14ac:dyDescent="0.3">
      <c r="B226" s="90"/>
      <c r="C226" s="107" t="e">
        <f>#REF!</f>
        <v>#REF!</v>
      </c>
      <c r="D226" s="43" t="s">
        <v>189</v>
      </c>
      <c r="E226" s="107" t="e">
        <f>#REF!</f>
        <v>#REF!</v>
      </c>
      <c r="F226" s="43" t="s">
        <v>366</v>
      </c>
      <c r="G226" s="107" t="e">
        <f>#REF!</f>
        <v>#REF!</v>
      </c>
      <c r="H226" s="41" t="s">
        <v>195</v>
      </c>
      <c r="J226" s="6" t="str">
        <f t="shared" ref="J226" si="96">IF(ISERR(FIND($J$15,C226,1)),"STOP","GO")</f>
        <v>STOP</v>
      </c>
      <c r="K226" s="6" t="str">
        <f t="shared" ref="K226" si="97">IF(ISERR(FIND($J$15,E226,1)),"STOP","GO")</f>
        <v>STOP</v>
      </c>
      <c r="L226" s="6" t="str">
        <f t="shared" ref="L226" si="98">IF(ISERR(FIND($J$15,G226,1)),"STOP","GO")</f>
        <v>STOP</v>
      </c>
    </row>
    <row r="227" spans="2:12" ht="4.95" customHeight="1" x14ac:dyDescent="0.3">
      <c r="B227" s="90"/>
      <c r="D227" s="43"/>
      <c r="F227" s="43" t="s">
        <v>364</v>
      </c>
      <c r="H227" s="41"/>
    </row>
    <row r="228" spans="2:12" x14ac:dyDescent="0.3">
      <c r="B228" s="90"/>
      <c r="C228" s="107" t="e">
        <f>#REF!</f>
        <v>#REF!</v>
      </c>
      <c r="D228" s="43" t="s">
        <v>347</v>
      </c>
      <c r="E228" s="107" t="e">
        <f>#REF!</f>
        <v>#REF!</v>
      </c>
      <c r="F228" s="43" t="s">
        <v>192</v>
      </c>
      <c r="G228" s="30"/>
      <c r="H228" s="41"/>
      <c r="J228" s="6" t="str">
        <f>IF(ISERR(FIND($J$15,C228,1)),"STOP","GO")</f>
        <v>STOP</v>
      </c>
      <c r="K228" s="6" t="str">
        <f t="shared" ref="K228" si="99">IF(ISERR(FIND($J$15,E228,1)),"STOP","GO")</f>
        <v>STOP</v>
      </c>
    </row>
    <row r="229" spans="2:12" x14ac:dyDescent="0.3">
      <c r="B229" s="90"/>
    </row>
    <row r="230" spans="2:12" x14ac:dyDescent="0.3">
      <c r="B230" s="93" t="s">
        <v>130</v>
      </c>
    </row>
    <row r="231" spans="2:12" ht="4.95" customHeight="1" x14ac:dyDescent="0.3">
      <c r="B231" s="90"/>
      <c r="C231" s="30"/>
      <c r="D231" s="34"/>
      <c r="E231" s="36"/>
      <c r="F231" s="30"/>
    </row>
    <row r="232" spans="2:12" ht="4.95" customHeight="1" x14ac:dyDescent="0.3">
      <c r="B232" s="90"/>
      <c r="C232" s="109"/>
      <c r="D232" s="109"/>
      <c r="E232" s="109"/>
      <c r="F232" s="109"/>
      <c r="G232" s="109"/>
      <c r="H232" s="109"/>
    </row>
    <row r="233" spans="2:12" s="18" customFormat="1" ht="4.95" customHeight="1" x14ac:dyDescent="0.3">
      <c r="B233" s="92"/>
      <c r="D233" s="40"/>
      <c r="E233" s="23"/>
      <c r="F233" s="24"/>
    </row>
    <row r="234" spans="2:12" x14ac:dyDescent="0.3">
      <c r="B234" s="90"/>
      <c r="C234" s="108" t="e">
        <f>#REF!</f>
        <v>#REF!</v>
      </c>
      <c r="D234" s="34" t="s">
        <v>361</v>
      </c>
      <c r="E234" s="36"/>
      <c r="F234" s="30"/>
    </row>
    <row r="235" spans="2:12" ht="4.95" customHeight="1" x14ac:dyDescent="0.3">
      <c r="B235" s="90"/>
      <c r="C235" s="30"/>
      <c r="D235" s="34"/>
      <c r="E235" s="36"/>
      <c r="F235" s="30"/>
    </row>
    <row r="236" spans="2:12" ht="4.95" customHeight="1" x14ac:dyDescent="0.3">
      <c r="B236" s="90"/>
      <c r="C236" s="109"/>
      <c r="D236" s="109"/>
      <c r="E236" s="109"/>
      <c r="F236" s="109"/>
      <c r="G236" s="109"/>
      <c r="H236" s="109"/>
    </row>
    <row r="237" spans="2:12" s="18" customFormat="1" ht="4.95" customHeight="1" x14ac:dyDescent="0.3">
      <c r="B237" s="92"/>
      <c r="D237" s="40"/>
      <c r="E237" s="23"/>
      <c r="F237" s="24"/>
    </row>
    <row r="238" spans="2:12" x14ac:dyDescent="0.3">
      <c r="B238" s="90"/>
      <c r="C238" s="107" t="e">
        <f>#REF!</f>
        <v>#REF!</v>
      </c>
      <c r="D238" s="43" t="s">
        <v>197</v>
      </c>
      <c r="E238" s="107" t="e">
        <f>#REF!</f>
        <v>#REF!</v>
      </c>
      <c r="F238" s="43" t="s">
        <v>216</v>
      </c>
      <c r="G238" s="107" t="e">
        <f>#REF!</f>
        <v>#REF!</v>
      </c>
      <c r="H238" s="41" t="s">
        <v>235</v>
      </c>
    </row>
    <row r="239" spans="2:12" ht="4.95" customHeight="1" x14ac:dyDescent="0.3">
      <c r="B239" s="90"/>
      <c r="D239" s="43"/>
      <c r="F239" s="43"/>
      <c r="H239" s="41"/>
    </row>
    <row r="240" spans="2:12" x14ac:dyDescent="0.3">
      <c r="B240" s="90"/>
      <c r="C240" s="107" t="e">
        <f>#REF!</f>
        <v>#REF!</v>
      </c>
      <c r="D240" s="43" t="s">
        <v>198</v>
      </c>
      <c r="E240" s="107" t="e">
        <f>#REF!</f>
        <v>#REF!</v>
      </c>
      <c r="F240" s="43" t="s">
        <v>217</v>
      </c>
      <c r="G240" s="107" t="e">
        <f>#REF!</f>
        <v>#REF!</v>
      </c>
      <c r="H240" s="41" t="s">
        <v>236</v>
      </c>
    </row>
    <row r="241" spans="2:8" ht="4.95" customHeight="1" x14ac:dyDescent="0.3">
      <c r="B241" s="90"/>
      <c r="D241" s="43"/>
      <c r="F241" s="43"/>
      <c r="H241" s="41"/>
    </row>
    <row r="242" spans="2:8" x14ac:dyDescent="0.3">
      <c r="B242" s="90"/>
      <c r="C242" s="107" t="e">
        <f>#REF!</f>
        <v>#REF!</v>
      </c>
      <c r="D242" s="43" t="s">
        <v>199</v>
      </c>
      <c r="E242" s="107" t="e">
        <f>#REF!</f>
        <v>#REF!</v>
      </c>
      <c r="F242" s="43" t="s">
        <v>218</v>
      </c>
      <c r="G242" s="107" t="e">
        <f>#REF!</f>
        <v>#REF!</v>
      </c>
      <c r="H242" s="41" t="s">
        <v>237</v>
      </c>
    </row>
    <row r="243" spans="2:8" ht="4.95" customHeight="1" x14ac:dyDescent="0.3">
      <c r="B243" s="90"/>
      <c r="C243" s="42"/>
      <c r="D243" s="43"/>
      <c r="E243" s="42"/>
      <c r="F243" s="43"/>
      <c r="G243" s="42"/>
      <c r="H243" s="41"/>
    </row>
    <row r="244" spans="2:8" x14ac:dyDescent="0.3">
      <c r="B244" s="90"/>
      <c r="C244" s="107" t="e">
        <f>#REF!</f>
        <v>#REF!</v>
      </c>
      <c r="D244" s="43" t="s">
        <v>200</v>
      </c>
      <c r="E244" s="107" t="e">
        <f>#REF!</f>
        <v>#REF!</v>
      </c>
      <c r="F244" s="43" t="s">
        <v>219</v>
      </c>
      <c r="G244" s="107" t="e">
        <f>#REF!</f>
        <v>#REF!</v>
      </c>
      <c r="H244" s="41" t="s">
        <v>238</v>
      </c>
    </row>
    <row r="245" spans="2:8" ht="4.95" customHeight="1" x14ac:dyDescent="0.3">
      <c r="B245" s="90"/>
      <c r="D245" s="43"/>
      <c r="F245" s="43"/>
      <c r="H245" s="41"/>
    </row>
    <row r="246" spans="2:8" x14ac:dyDescent="0.3">
      <c r="B246" s="90"/>
      <c r="C246" s="107" t="e">
        <f>#REF!</f>
        <v>#REF!</v>
      </c>
      <c r="D246" s="43" t="s">
        <v>201</v>
      </c>
      <c r="E246" s="107" t="e">
        <f>#REF!</f>
        <v>#REF!</v>
      </c>
      <c r="F246" s="43" t="s">
        <v>220</v>
      </c>
      <c r="G246" s="107" t="e">
        <f>#REF!</f>
        <v>#REF!</v>
      </c>
      <c r="H246" s="41" t="s">
        <v>158</v>
      </c>
    </row>
    <row r="247" spans="2:8" s="18" customFormat="1" ht="4.95" customHeight="1" x14ac:dyDescent="0.3">
      <c r="B247" s="92"/>
      <c r="D247" s="40"/>
      <c r="E247" s="23"/>
      <c r="F247" s="24"/>
    </row>
    <row r="248" spans="2:8" x14ac:dyDescent="0.3">
      <c r="B248" s="90"/>
      <c r="C248" s="107" t="e">
        <f>#REF!</f>
        <v>#REF!</v>
      </c>
      <c r="D248" s="43" t="s">
        <v>202</v>
      </c>
      <c r="E248" s="107" t="e">
        <f>#REF!</f>
        <v>#REF!</v>
      </c>
      <c r="F248" s="43" t="s">
        <v>221</v>
      </c>
      <c r="G248" s="107" t="e">
        <f>#REF!</f>
        <v>#REF!</v>
      </c>
      <c r="H248" s="41" t="s">
        <v>239</v>
      </c>
    </row>
    <row r="249" spans="2:8" ht="4.95" customHeight="1" x14ac:dyDescent="0.3">
      <c r="B249" s="90"/>
      <c r="D249" s="43"/>
      <c r="F249" s="43"/>
      <c r="H249" s="41"/>
    </row>
    <row r="250" spans="2:8" x14ac:dyDescent="0.3">
      <c r="B250" s="90"/>
      <c r="C250" s="107" t="e">
        <f>#REF!</f>
        <v>#REF!</v>
      </c>
      <c r="D250" s="43" t="s">
        <v>203</v>
      </c>
      <c r="E250" s="107" t="e">
        <f>#REF!</f>
        <v>#REF!</v>
      </c>
      <c r="F250" s="43" t="s">
        <v>222</v>
      </c>
      <c r="G250" s="107" t="e">
        <f>#REF!</f>
        <v>#REF!</v>
      </c>
      <c r="H250" s="41" t="s">
        <v>240</v>
      </c>
    </row>
    <row r="251" spans="2:8" ht="4.95" customHeight="1" x14ac:dyDescent="0.3">
      <c r="B251" s="90"/>
      <c r="D251" s="43"/>
      <c r="F251" s="43"/>
      <c r="H251" s="41"/>
    </row>
    <row r="252" spans="2:8" x14ac:dyDescent="0.3">
      <c r="B252" s="90"/>
      <c r="C252" s="107" t="e">
        <f>#REF!</f>
        <v>#REF!</v>
      </c>
      <c r="D252" s="43" t="s">
        <v>204</v>
      </c>
      <c r="E252" s="107" t="e">
        <f>#REF!</f>
        <v>#REF!</v>
      </c>
      <c r="F252" s="43" t="s">
        <v>223</v>
      </c>
      <c r="G252" s="107" t="e">
        <f>#REF!</f>
        <v>#REF!</v>
      </c>
      <c r="H252" s="41" t="s">
        <v>241</v>
      </c>
    </row>
    <row r="253" spans="2:8" ht="4.95" customHeight="1" x14ac:dyDescent="0.3">
      <c r="B253" s="90"/>
      <c r="C253" s="42"/>
      <c r="D253" s="43"/>
      <c r="E253" s="42"/>
      <c r="F253" s="43"/>
      <c r="G253" s="42"/>
      <c r="H253" s="41"/>
    </row>
    <row r="254" spans="2:8" x14ac:dyDescent="0.3">
      <c r="B254" s="90"/>
      <c r="C254" s="107" t="e">
        <f>#REF!</f>
        <v>#REF!</v>
      </c>
      <c r="D254" s="43" t="s">
        <v>205</v>
      </c>
      <c r="E254" s="107" t="e">
        <f>#REF!</f>
        <v>#REF!</v>
      </c>
      <c r="F254" s="43" t="s">
        <v>224</v>
      </c>
      <c r="G254" s="107" t="e">
        <f>#REF!</f>
        <v>#REF!</v>
      </c>
      <c r="H254" s="41" t="s">
        <v>242</v>
      </c>
    </row>
    <row r="255" spans="2:8" ht="4.95" customHeight="1" x14ac:dyDescent="0.3">
      <c r="B255" s="90"/>
      <c r="D255" s="43"/>
      <c r="F255" s="43"/>
      <c r="H255" s="41"/>
    </row>
    <row r="256" spans="2:8" x14ac:dyDescent="0.3">
      <c r="B256" s="90"/>
      <c r="C256" s="107" t="e">
        <f>#REF!</f>
        <v>#REF!</v>
      </c>
      <c r="D256" s="43" t="s">
        <v>206</v>
      </c>
      <c r="E256" s="107" t="e">
        <f>#REF!</f>
        <v>#REF!</v>
      </c>
      <c r="F256" s="43" t="s">
        <v>225</v>
      </c>
      <c r="G256" s="107" t="e">
        <f>#REF!</f>
        <v>#REF!</v>
      </c>
      <c r="H256" s="41" t="s">
        <v>243</v>
      </c>
    </row>
    <row r="257" spans="2:8" s="18" customFormat="1" ht="4.95" customHeight="1" x14ac:dyDescent="0.3">
      <c r="B257" s="92"/>
      <c r="D257" s="40"/>
      <c r="E257" s="23"/>
      <c r="F257" s="24"/>
    </row>
    <row r="258" spans="2:8" x14ac:dyDescent="0.3">
      <c r="B258" s="90"/>
      <c r="C258" s="107" t="e">
        <f>#REF!</f>
        <v>#REF!</v>
      </c>
      <c r="D258" s="43" t="s">
        <v>207</v>
      </c>
      <c r="E258" s="107" t="e">
        <f>#REF!</f>
        <v>#REF!</v>
      </c>
      <c r="F258" s="43" t="s">
        <v>226</v>
      </c>
      <c r="G258" s="107" t="e">
        <f>#REF!</f>
        <v>#REF!</v>
      </c>
      <c r="H258" s="41" t="s">
        <v>244</v>
      </c>
    </row>
    <row r="259" spans="2:8" ht="4.95" customHeight="1" x14ac:dyDescent="0.3">
      <c r="B259" s="90"/>
      <c r="D259" s="43"/>
      <c r="F259" s="43"/>
      <c r="H259" s="41"/>
    </row>
    <row r="260" spans="2:8" x14ac:dyDescent="0.3">
      <c r="B260" s="90"/>
      <c r="C260" s="107" t="e">
        <f>#REF!</f>
        <v>#REF!</v>
      </c>
      <c r="D260" s="43" t="s">
        <v>208</v>
      </c>
      <c r="E260" s="107" t="e">
        <f>#REF!</f>
        <v>#REF!</v>
      </c>
      <c r="F260" s="43" t="s">
        <v>227</v>
      </c>
      <c r="G260" s="107" t="e">
        <f>#REF!</f>
        <v>#REF!</v>
      </c>
      <c r="H260" s="41" t="s">
        <v>245</v>
      </c>
    </row>
    <row r="261" spans="2:8" ht="4.95" customHeight="1" x14ac:dyDescent="0.3">
      <c r="B261" s="90"/>
      <c r="D261" s="43"/>
      <c r="F261" s="43"/>
      <c r="H261" s="41"/>
    </row>
    <row r="262" spans="2:8" x14ac:dyDescent="0.3">
      <c r="B262" s="90"/>
      <c r="C262" s="107" t="e">
        <f>#REF!</f>
        <v>#REF!</v>
      </c>
      <c r="D262" s="43" t="s">
        <v>209</v>
      </c>
      <c r="E262" s="107" t="e">
        <f>#REF!</f>
        <v>#REF!</v>
      </c>
      <c r="F262" s="43" t="s">
        <v>228</v>
      </c>
      <c r="G262" s="107" t="e">
        <f>#REF!</f>
        <v>#REF!</v>
      </c>
      <c r="H262" s="41" t="s">
        <v>246</v>
      </c>
    </row>
    <row r="263" spans="2:8" ht="4.95" customHeight="1" x14ac:dyDescent="0.3">
      <c r="B263" s="90"/>
      <c r="C263" s="42"/>
      <c r="D263" s="43"/>
      <c r="E263" s="42"/>
      <c r="F263" s="43"/>
      <c r="G263" s="42"/>
      <c r="H263" s="41"/>
    </row>
    <row r="264" spans="2:8" x14ac:dyDescent="0.3">
      <c r="B264" s="90"/>
      <c r="C264" s="107" t="e">
        <f>#REF!</f>
        <v>#REF!</v>
      </c>
      <c r="D264" s="43" t="s">
        <v>210</v>
      </c>
      <c r="E264" s="107" t="e">
        <f>#REF!</f>
        <v>#REF!</v>
      </c>
      <c r="F264" s="43" t="s">
        <v>229</v>
      </c>
      <c r="G264" s="107" t="e">
        <f>#REF!</f>
        <v>#REF!</v>
      </c>
      <c r="H264" s="41" t="s">
        <v>247</v>
      </c>
    </row>
    <row r="265" spans="2:8" ht="4.95" customHeight="1" x14ac:dyDescent="0.3">
      <c r="B265" s="90"/>
      <c r="D265" s="43"/>
      <c r="F265" s="43"/>
      <c r="H265" s="41"/>
    </row>
    <row r="266" spans="2:8" x14ac:dyDescent="0.3">
      <c r="B266" s="90"/>
      <c r="C266" s="107" t="e">
        <f>#REF!</f>
        <v>#REF!</v>
      </c>
      <c r="D266" s="43" t="s">
        <v>211</v>
      </c>
      <c r="E266" s="107" t="e">
        <f>#REF!</f>
        <v>#REF!</v>
      </c>
      <c r="F266" s="43" t="s">
        <v>230</v>
      </c>
      <c r="G266" s="107" t="e">
        <f>#REF!</f>
        <v>#REF!</v>
      </c>
      <c r="H266" s="41" t="s">
        <v>248</v>
      </c>
    </row>
    <row r="267" spans="2:8" ht="4.95" customHeight="1" x14ac:dyDescent="0.3">
      <c r="B267" s="90"/>
      <c r="D267" s="43"/>
      <c r="F267" s="43"/>
      <c r="H267" s="41"/>
    </row>
    <row r="268" spans="2:8" x14ac:dyDescent="0.3">
      <c r="B268" s="90"/>
      <c r="C268" s="107" t="e">
        <f>#REF!</f>
        <v>#REF!</v>
      </c>
      <c r="D268" s="43" t="s">
        <v>212</v>
      </c>
      <c r="E268" s="107" t="e">
        <f>#REF!</f>
        <v>#REF!</v>
      </c>
      <c r="F268" s="43" t="s">
        <v>231</v>
      </c>
      <c r="G268" s="107" t="e">
        <f>#REF!</f>
        <v>#REF!</v>
      </c>
      <c r="H268" s="41" t="s">
        <v>249</v>
      </c>
    </row>
    <row r="269" spans="2:8" ht="4.95" customHeight="1" x14ac:dyDescent="0.3">
      <c r="B269" s="90"/>
      <c r="D269" s="43"/>
      <c r="F269" s="43"/>
      <c r="H269" s="41"/>
    </row>
    <row r="270" spans="2:8" x14ac:dyDescent="0.3">
      <c r="B270" s="90"/>
      <c r="C270" s="107" t="e">
        <f>#REF!</f>
        <v>#REF!</v>
      </c>
      <c r="D270" s="43" t="s">
        <v>213</v>
      </c>
      <c r="E270" s="107" t="e">
        <f>#REF!</f>
        <v>#REF!</v>
      </c>
      <c r="F270" s="43" t="s">
        <v>232</v>
      </c>
      <c r="G270" s="107" t="e">
        <f>#REF!</f>
        <v>#REF!</v>
      </c>
      <c r="H270" s="41" t="s">
        <v>250</v>
      </c>
    </row>
    <row r="271" spans="2:8" ht="4.95" customHeight="1" x14ac:dyDescent="0.3">
      <c r="B271" s="90"/>
      <c r="C271" s="42"/>
      <c r="D271" s="43"/>
      <c r="E271" s="42"/>
      <c r="F271" s="43"/>
      <c r="G271" s="42"/>
      <c r="H271" s="41"/>
    </row>
    <row r="272" spans="2:8" x14ac:dyDescent="0.3">
      <c r="B272" s="90"/>
      <c r="C272" s="107" t="e">
        <f>#REF!</f>
        <v>#REF!</v>
      </c>
      <c r="D272" s="43" t="s">
        <v>214</v>
      </c>
      <c r="E272" s="107" t="e">
        <f>#REF!</f>
        <v>#REF!</v>
      </c>
      <c r="F272" s="43" t="s">
        <v>233</v>
      </c>
      <c r="G272" s="107" t="e">
        <f>#REF!</f>
        <v>#REF!</v>
      </c>
      <c r="H272" s="41" t="s">
        <v>251</v>
      </c>
    </row>
    <row r="273" spans="2:13" ht="4.95" customHeight="1" x14ac:dyDescent="0.3">
      <c r="B273" s="90"/>
      <c r="D273" s="43"/>
      <c r="F273" s="43"/>
      <c r="H273" s="41"/>
    </row>
    <row r="274" spans="2:13" x14ac:dyDescent="0.3">
      <c r="B274" s="90"/>
      <c r="C274" s="107" t="e">
        <f>#REF!</f>
        <v>#REF!</v>
      </c>
      <c r="D274" s="43" t="s">
        <v>215</v>
      </c>
      <c r="E274" s="107" t="e">
        <f>#REF!</f>
        <v>#REF!</v>
      </c>
      <c r="F274" s="43" t="s">
        <v>234</v>
      </c>
      <c r="G274" s="30"/>
      <c r="H274" s="41"/>
    </row>
    <row r="275" spans="2:13" x14ac:dyDescent="0.3">
      <c r="B275" s="90"/>
    </row>
    <row r="276" spans="2:13" x14ac:dyDescent="0.3">
      <c r="B276" s="93" t="s">
        <v>131</v>
      </c>
    </row>
    <row r="277" spans="2:13" ht="4.95" customHeight="1" x14ac:dyDescent="0.3">
      <c r="B277" s="90"/>
      <c r="C277" s="30"/>
      <c r="D277" s="34"/>
      <c r="E277" s="36"/>
      <c r="F277" s="30"/>
    </row>
    <row r="278" spans="2:13" ht="4.95" customHeight="1" x14ac:dyDescent="0.3">
      <c r="B278" s="90"/>
      <c r="C278" s="109"/>
      <c r="D278" s="109"/>
      <c r="E278" s="109"/>
      <c r="F278" s="109"/>
      <c r="G278" s="30"/>
      <c r="H278" s="30"/>
    </row>
    <row r="279" spans="2:13" s="18" customFormat="1" ht="4.95" customHeight="1" x14ac:dyDescent="0.3">
      <c r="B279" s="92"/>
      <c r="D279" s="40"/>
      <c r="E279" s="23"/>
      <c r="F279" s="24"/>
      <c r="G279" s="51"/>
      <c r="H279" s="51"/>
    </row>
    <row r="280" spans="2:13" x14ac:dyDescent="0.3">
      <c r="B280" s="90"/>
      <c r="C280" s="108" t="e">
        <f>#REF!</f>
        <v>#REF!</v>
      </c>
      <c r="D280" s="34" t="s">
        <v>361</v>
      </c>
      <c r="E280" s="36"/>
      <c r="F280" s="30"/>
      <c r="G280" s="12"/>
      <c r="H280" s="12"/>
      <c r="J280" s="145" t="str">
        <f>IF(COUNTIF(J284:K284,"GO")&gt;0,"","STOP")</f>
        <v>STOP</v>
      </c>
      <c r="M280" s="6" t="str">
        <f>J280</f>
        <v>STOP</v>
      </c>
    </row>
    <row r="281" spans="2:13" ht="4.95" customHeight="1" x14ac:dyDescent="0.3">
      <c r="B281" s="90"/>
      <c r="C281" s="30"/>
      <c r="D281" s="34"/>
      <c r="E281" s="36"/>
      <c r="F281" s="30"/>
      <c r="G281" s="12"/>
      <c r="H281" s="12"/>
    </row>
    <row r="282" spans="2:13" ht="4.95" customHeight="1" x14ac:dyDescent="0.3">
      <c r="B282" s="90"/>
      <c r="C282" s="109"/>
      <c r="D282" s="109"/>
      <c r="E282" s="109"/>
      <c r="F282" s="109"/>
      <c r="G282" s="12"/>
      <c r="H282" s="12"/>
    </row>
    <row r="283" spans="2:13" s="18" customFormat="1" ht="4.95" customHeight="1" x14ac:dyDescent="0.3">
      <c r="B283" s="92"/>
      <c r="D283" s="40"/>
      <c r="E283" s="23"/>
      <c r="F283" s="24"/>
      <c r="G283" s="51"/>
      <c r="H283" s="51"/>
    </row>
    <row r="284" spans="2:13" x14ac:dyDescent="0.3">
      <c r="B284" s="90"/>
      <c r="C284" s="107" t="e">
        <f>#REF!</f>
        <v>#REF!</v>
      </c>
      <c r="D284" s="43" t="s">
        <v>253</v>
      </c>
      <c r="E284" s="107" t="e">
        <f>#REF!</f>
        <v>#REF!</v>
      </c>
      <c r="F284" s="43" t="s">
        <v>254</v>
      </c>
      <c r="G284" s="30"/>
      <c r="H284" s="52"/>
      <c r="J284" s="6" t="str">
        <f t="shared" ref="J284" si="100">IF(ISERR(FIND($J$15,C284,1)),"STOP","GO")</f>
        <v>STOP</v>
      </c>
      <c r="K284" s="6" t="str">
        <f t="shared" ref="K284" si="101">IF(ISERR(FIND($J$15,E284,1)),"STOP","GO")</f>
        <v>STOP</v>
      </c>
    </row>
    <row r="285" spans="2:13" x14ac:dyDescent="0.3">
      <c r="B285" s="90"/>
    </row>
    <row r="286" spans="2:13" x14ac:dyDescent="0.3">
      <c r="B286" s="93" t="s">
        <v>132</v>
      </c>
      <c r="D286" s="15" t="s">
        <v>387</v>
      </c>
    </row>
    <row r="287" spans="2:13" ht="4.95" customHeight="1" x14ac:dyDescent="0.3">
      <c r="B287" s="90"/>
      <c r="C287" s="30"/>
      <c r="D287" s="34"/>
      <c r="E287" s="36"/>
      <c r="F287" s="30"/>
    </row>
    <row r="288" spans="2:13" ht="4.95" customHeight="1" x14ac:dyDescent="0.3">
      <c r="B288" s="90"/>
      <c r="C288" s="109"/>
      <c r="D288" s="109"/>
      <c r="E288" s="109"/>
      <c r="F288" s="109"/>
      <c r="G288" s="109"/>
      <c r="H288" s="109"/>
    </row>
    <row r="289" spans="2:13" s="18" customFormat="1" ht="4.95" customHeight="1" x14ac:dyDescent="0.3">
      <c r="B289" s="92"/>
      <c r="D289" s="40"/>
      <c r="E289" s="23"/>
      <c r="F289" s="24"/>
    </row>
    <row r="290" spans="2:13" x14ac:dyDescent="0.3">
      <c r="B290" s="90"/>
      <c r="C290" s="108" t="e">
        <f>#REF!</f>
        <v>#REF!</v>
      </c>
      <c r="D290" s="34" t="s">
        <v>361</v>
      </c>
      <c r="E290" s="36"/>
      <c r="F290" s="30"/>
      <c r="J290" s="145" t="str">
        <f>IF(COUNTIF(J294:L302,"GO")&gt;0,"","STOP")</f>
        <v>STOP</v>
      </c>
      <c r="M290" s="6" t="str">
        <f>J290</f>
        <v>STOP</v>
      </c>
    </row>
    <row r="291" spans="2:13" ht="4.95" customHeight="1" x14ac:dyDescent="0.3">
      <c r="B291" s="90"/>
      <c r="C291" s="30"/>
      <c r="D291" s="34"/>
      <c r="E291" s="36"/>
      <c r="F291" s="30"/>
    </row>
    <row r="292" spans="2:13" ht="4.95" customHeight="1" x14ac:dyDescent="0.3">
      <c r="B292" s="90"/>
      <c r="C292" s="109"/>
      <c r="D292" s="109"/>
      <c r="E292" s="109"/>
      <c r="F292" s="109"/>
      <c r="G292" s="109"/>
      <c r="H292" s="109"/>
    </row>
    <row r="293" spans="2:13" s="18" customFormat="1" ht="4.95" customHeight="1" x14ac:dyDescent="0.3">
      <c r="B293" s="92"/>
      <c r="D293" s="40"/>
      <c r="E293" s="23"/>
      <c r="F293" s="24"/>
    </row>
    <row r="294" spans="2:13" x14ac:dyDescent="0.3">
      <c r="B294" s="90"/>
      <c r="C294" s="107" t="e">
        <f>#REF!</f>
        <v>#REF!</v>
      </c>
      <c r="D294" s="43" t="s">
        <v>256</v>
      </c>
      <c r="E294" s="107" t="e">
        <f>#REF!</f>
        <v>#REF!</v>
      </c>
      <c r="F294" s="43" t="s">
        <v>260</v>
      </c>
      <c r="G294" s="107" t="e">
        <f>#REF!</f>
        <v>#REF!</v>
      </c>
      <c r="H294" s="41" t="s">
        <v>264</v>
      </c>
      <c r="J294" s="6" t="str">
        <f t="shared" ref="J294" si="102">IF(ISERR(FIND($J$15,C294,1)),"STOP","GO")</f>
        <v>STOP</v>
      </c>
      <c r="K294" s="6" t="str">
        <f t="shared" ref="K294" si="103">IF(ISERR(FIND($J$15,E294,1)),"STOP","GO")</f>
        <v>STOP</v>
      </c>
      <c r="L294" s="6" t="str">
        <f t="shared" ref="L294" si="104">IF(ISERR(FIND($J$15,G294,1)),"STOP","GO")</f>
        <v>STOP</v>
      </c>
    </row>
    <row r="295" spans="2:13" ht="4.95" customHeight="1" x14ac:dyDescent="0.3">
      <c r="B295" s="90"/>
      <c r="D295" s="43"/>
      <c r="F295" s="43"/>
      <c r="H295" s="41"/>
    </row>
    <row r="296" spans="2:13" x14ac:dyDescent="0.3">
      <c r="B296" s="90"/>
      <c r="C296" s="107" t="e">
        <f>#REF!</f>
        <v>#REF!</v>
      </c>
      <c r="D296" s="43" t="s">
        <v>257</v>
      </c>
      <c r="E296" s="107" t="e">
        <f>#REF!</f>
        <v>#REF!</v>
      </c>
      <c r="F296" s="43" t="s">
        <v>167</v>
      </c>
      <c r="G296" s="107" t="e">
        <f>#REF!</f>
        <v>#REF!</v>
      </c>
      <c r="H296" s="41" t="s">
        <v>265</v>
      </c>
      <c r="J296" s="6" t="str">
        <f>IF(ISERR(FIND($J$15,C296,1)),"STOP","GO")</f>
        <v>STOP</v>
      </c>
      <c r="K296" s="6" t="str">
        <f t="shared" ref="K296" si="105">IF(ISERR(FIND($J$15,E296,1)),"STOP","GO")</f>
        <v>STOP</v>
      </c>
      <c r="L296" s="6" t="str">
        <f t="shared" ref="L296" si="106">IF(ISERR(FIND($J$15,G296,1)),"STOP","GO")</f>
        <v>STOP</v>
      </c>
    </row>
    <row r="297" spans="2:13" ht="4.95" customHeight="1" x14ac:dyDescent="0.3">
      <c r="B297" s="90"/>
      <c r="D297" s="43"/>
      <c r="F297" s="43"/>
      <c r="H297" s="41"/>
    </row>
    <row r="298" spans="2:13" x14ac:dyDescent="0.3">
      <c r="B298" s="90"/>
      <c r="C298" s="107" t="e">
        <f>#REF!</f>
        <v>#REF!</v>
      </c>
      <c r="D298" s="43" t="s">
        <v>258</v>
      </c>
      <c r="E298" s="107" t="e">
        <f>#REF!</f>
        <v>#REF!</v>
      </c>
      <c r="F298" s="43" t="s">
        <v>368</v>
      </c>
      <c r="G298" s="107" t="e">
        <f>#REF!</f>
        <v>#REF!</v>
      </c>
      <c r="H298" s="41" t="s">
        <v>266</v>
      </c>
      <c r="J298" s="6" t="str">
        <f t="shared" ref="J298" si="107">IF(ISERR(FIND($J$15,C298,1)),"STOP","GO")</f>
        <v>STOP</v>
      </c>
      <c r="K298" s="6" t="str">
        <f t="shared" ref="K298" si="108">IF(ISERR(FIND($J$15,E298,1)),"STOP","GO")</f>
        <v>STOP</v>
      </c>
      <c r="L298" s="6" t="str">
        <f t="shared" ref="L298" si="109">IF(ISERR(FIND($J$15,G298,1)),"STOP","GO")</f>
        <v>STOP</v>
      </c>
    </row>
    <row r="299" spans="2:13" ht="4.95" customHeight="1" x14ac:dyDescent="0.3">
      <c r="B299" s="90"/>
      <c r="C299" s="42"/>
      <c r="D299" s="43"/>
      <c r="E299" s="42"/>
      <c r="F299" s="43"/>
      <c r="G299" s="42"/>
      <c r="H299" s="41"/>
    </row>
    <row r="300" spans="2:13" x14ac:dyDescent="0.3">
      <c r="B300" s="90"/>
      <c r="C300" s="107" t="e">
        <f>#REF!</f>
        <v>#REF!</v>
      </c>
      <c r="D300" s="43" t="s">
        <v>259</v>
      </c>
      <c r="E300" s="107" t="e">
        <f>#REF!</f>
        <v>#REF!</v>
      </c>
      <c r="F300" s="43" t="s">
        <v>262</v>
      </c>
      <c r="G300" s="107" t="e">
        <f>#REF!</f>
        <v>#REF!</v>
      </c>
      <c r="H300" s="41" t="s">
        <v>267</v>
      </c>
      <c r="J300" s="6" t="str">
        <f>IF(ISERR(FIND($J$15,C300,1)),"STOP","GO")</f>
        <v>STOP</v>
      </c>
      <c r="K300" s="6" t="str">
        <f t="shared" ref="K300" si="110">IF(ISERR(FIND($J$15,E300,1)),"STOP","GO")</f>
        <v>STOP</v>
      </c>
      <c r="L300" s="6" t="str">
        <f t="shared" ref="L300" si="111">IF(ISERR(FIND($J$15,G300,1)),"STOP","GO")</f>
        <v>STOP</v>
      </c>
    </row>
    <row r="301" spans="2:13" ht="4.95" customHeight="1" x14ac:dyDescent="0.3">
      <c r="B301" s="90"/>
      <c r="D301" s="43"/>
      <c r="F301" s="43"/>
      <c r="H301" s="41"/>
    </row>
    <row r="302" spans="2:13" x14ac:dyDescent="0.3">
      <c r="B302" s="90"/>
      <c r="C302" s="107" t="e">
        <f>#REF!</f>
        <v>#REF!</v>
      </c>
      <c r="D302" s="43" t="s">
        <v>162</v>
      </c>
      <c r="E302" s="107" t="e">
        <f>#REF!</f>
        <v>#REF!</v>
      </c>
      <c r="F302" s="43" t="s">
        <v>263</v>
      </c>
      <c r="G302" s="107" t="e">
        <f>#REF!</f>
        <v>#REF!</v>
      </c>
      <c r="H302" s="41" t="s">
        <v>268</v>
      </c>
      <c r="J302" s="6" t="str">
        <f t="shared" ref="J302" si="112">IF(ISERR(FIND($J$15,C302,1)),"STOP","GO")</f>
        <v>STOP</v>
      </c>
      <c r="K302" s="6" t="str">
        <f t="shared" ref="K302" si="113">IF(ISERR(FIND($J$15,E302,1)),"STOP","GO")</f>
        <v>STOP</v>
      </c>
      <c r="L302" s="6" t="str">
        <f t="shared" ref="L302" si="114">IF(ISERR(FIND($J$15,G302,1)),"STOP","GO")</f>
        <v>STOP</v>
      </c>
    </row>
    <row r="303" spans="2:13" x14ac:dyDescent="0.3">
      <c r="B303" s="90"/>
    </row>
    <row r="304" spans="2:13" x14ac:dyDescent="0.3">
      <c r="B304" s="93" t="s">
        <v>133</v>
      </c>
      <c r="D304" s="15" t="s">
        <v>369</v>
      </c>
    </row>
    <row r="305" spans="2:8" x14ac:dyDescent="0.3">
      <c r="B305" s="93"/>
    </row>
    <row r="306" spans="2:8" x14ac:dyDescent="0.3">
      <c r="B306" s="90"/>
      <c r="C306" s="107" t="e">
        <f>#REF!</f>
        <v>#REF!</v>
      </c>
      <c r="D306" s="19" t="s">
        <v>270</v>
      </c>
      <c r="E306" s="107" t="e">
        <f>#REF!</f>
        <v>#REF!</v>
      </c>
      <c r="F306" s="43" t="s">
        <v>277</v>
      </c>
      <c r="G306" s="107" t="e">
        <f>#REF!</f>
        <v>#REF!</v>
      </c>
      <c r="H306" s="53" t="s">
        <v>284</v>
      </c>
    </row>
    <row r="307" spans="2:8" ht="4.95" customHeight="1" x14ac:dyDescent="0.3">
      <c r="B307" s="90"/>
      <c r="D307" s="43"/>
      <c r="F307" s="43"/>
      <c r="H307" s="41"/>
    </row>
    <row r="308" spans="2:8" x14ac:dyDescent="0.3">
      <c r="B308" s="90"/>
      <c r="C308" s="107" t="e">
        <f>#REF!</f>
        <v>#REF!</v>
      </c>
      <c r="D308" s="43" t="s">
        <v>271</v>
      </c>
      <c r="E308" s="107" t="e">
        <f>#REF!</f>
        <v>#REF!</v>
      </c>
      <c r="F308" s="43" t="s">
        <v>278</v>
      </c>
      <c r="G308" s="107" t="e">
        <f>#REF!</f>
        <v>#REF!</v>
      </c>
      <c r="H308" s="41" t="s">
        <v>285</v>
      </c>
    </row>
    <row r="309" spans="2:8" ht="4.95" customHeight="1" x14ac:dyDescent="0.3">
      <c r="B309" s="90"/>
      <c r="C309" s="42"/>
      <c r="D309" s="43"/>
      <c r="E309" s="42"/>
      <c r="F309" s="43"/>
      <c r="G309" s="42"/>
      <c r="H309" s="41"/>
    </row>
    <row r="310" spans="2:8" x14ac:dyDescent="0.3">
      <c r="B310" s="90"/>
      <c r="C310" s="107" t="e">
        <f>#REF!</f>
        <v>#REF!</v>
      </c>
      <c r="D310" s="43" t="s">
        <v>272</v>
      </c>
      <c r="E310" s="107" t="e">
        <f>#REF!</f>
        <v>#REF!</v>
      </c>
      <c r="F310" s="43" t="s">
        <v>279</v>
      </c>
      <c r="G310" s="107" t="e">
        <f>#REF!</f>
        <v>#REF!</v>
      </c>
      <c r="H310" s="41" t="s">
        <v>286</v>
      </c>
    </row>
    <row r="311" spans="2:8" ht="4.95" customHeight="1" x14ac:dyDescent="0.3">
      <c r="B311" s="90"/>
      <c r="D311" s="43"/>
      <c r="F311" s="43"/>
      <c r="H311" s="41"/>
    </row>
    <row r="312" spans="2:8" x14ac:dyDescent="0.3">
      <c r="B312" s="90"/>
      <c r="C312" s="107" t="e">
        <f>#REF!</f>
        <v>#REF!</v>
      </c>
      <c r="D312" s="43" t="s">
        <v>273</v>
      </c>
      <c r="E312" s="107" t="e">
        <f>#REF!</f>
        <v>#REF!</v>
      </c>
      <c r="F312" s="19" t="s">
        <v>280</v>
      </c>
      <c r="G312" s="107" t="e">
        <f>#REF!</f>
        <v>#REF!</v>
      </c>
      <c r="H312" s="41" t="s">
        <v>287</v>
      </c>
    </row>
    <row r="313" spans="2:8" ht="4.95" customHeight="1" x14ac:dyDescent="0.3">
      <c r="B313" s="90"/>
      <c r="D313" s="43"/>
      <c r="F313" s="43"/>
      <c r="H313" s="41"/>
    </row>
    <row r="314" spans="2:8" x14ac:dyDescent="0.3">
      <c r="B314" s="90"/>
      <c r="C314" s="107" t="e">
        <f>#REF!</f>
        <v>#REF!</v>
      </c>
      <c r="D314" s="43" t="s">
        <v>274</v>
      </c>
      <c r="E314" s="107" t="e">
        <f>#REF!</f>
        <v>#REF!</v>
      </c>
      <c r="F314" s="43" t="s">
        <v>281</v>
      </c>
      <c r="G314" s="107" t="e">
        <f>#REF!</f>
        <v>#REF!</v>
      </c>
      <c r="H314" s="41" t="s">
        <v>288</v>
      </c>
    </row>
    <row r="315" spans="2:8" ht="4.95" customHeight="1" x14ac:dyDescent="0.3">
      <c r="B315" s="90"/>
      <c r="D315" s="43"/>
      <c r="F315" s="43"/>
      <c r="H315" s="41"/>
    </row>
    <row r="316" spans="2:8" x14ac:dyDescent="0.3">
      <c r="B316" s="90"/>
      <c r="C316" s="107" t="e">
        <f>#REF!</f>
        <v>#REF!</v>
      </c>
      <c r="D316" s="19" t="s">
        <v>275</v>
      </c>
      <c r="E316" s="107" t="e">
        <f>#REF!</f>
        <v>#REF!</v>
      </c>
      <c r="F316" s="43" t="s">
        <v>282</v>
      </c>
      <c r="G316" s="30"/>
      <c r="H316" s="41"/>
    </row>
    <row r="317" spans="2:8" ht="4.95" customHeight="1" x14ac:dyDescent="0.3">
      <c r="B317" s="90"/>
      <c r="C317" s="42"/>
      <c r="D317" s="43"/>
      <c r="E317" s="42"/>
      <c r="F317" s="43"/>
      <c r="G317" s="54"/>
      <c r="H317" s="41"/>
    </row>
    <row r="318" spans="2:8" x14ac:dyDescent="0.3">
      <c r="B318" s="90"/>
      <c r="C318" s="107" t="e">
        <f>#REF!</f>
        <v>#REF!</v>
      </c>
      <c r="D318" s="43" t="s">
        <v>276</v>
      </c>
      <c r="E318" s="107" t="e">
        <f>#REF!</f>
        <v>#REF!</v>
      </c>
      <c r="F318" s="43" t="s">
        <v>283</v>
      </c>
      <c r="G318" s="30"/>
      <c r="H318" s="41"/>
    </row>
    <row r="319" spans="2:8" x14ac:dyDescent="0.3">
      <c r="B319" s="90"/>
    </row>
    <row r="320" spans="2:8" x14ac:dyDescent="0.3">
      <c r="B320" s="93" t="s">
        <v>134</v>
      </c>
      <c r="D320" s="15"/>
    </row>
    <row r="321" spans="2:13" ht="4.95" customHeight="1" x14ac:dyDescent="0.3">
      <c r="B321" s="90"/>
      <c r="C321" s="30"/>
      <c r="D321" s="34"/>
      <c r="E321" s="36"/>
      <c r="F321" s="30"/>
    </row>
    <row r="322" spans="2:13" ht="4.95" customHeight="1" x14ac:dyDescent="0.3">
      <c r="B322" s="90"/>
      <c r="C322" s="109"/>
      <c r="D322" s="109"/>
      <c r="E322" s="109"/>
      <c r="F322" s="109"/>
      <c r="G322" s="109"/>
      <c r="H322" s="109"/>
    </row>
    <row r="323" spans="2:13" s="18" customFormat="1" ht="4.95" customHeight="1" x14ac:dyDescent="0.3">
      <c r="B323" s="92"/>
      <c r="D323" s="40"/>
      <c r="E323" s="23"/>
      <c r="F323" s="24"/>
    </row>
    <row r="324" spans="2:13" x14ac:dyDescent="0.3">
      <c r="B324" s="90"/>
      <c r="C324" s="108" t="e">
        <f>#REF!</f>
        <v>#REF!</v>
      </c>
      <c r="D324" s="34" t="s">
        <v>361</v>
      </c>
      <c r="E324" s="36"/>
      <c r="F324" s="30"/>
      <c r="J324" s="145" t="str">
        <f>IF(COUNTIF(J328:L328,"GO")&gt;0,"","STOP")</f>
        <v>STOP</v>
      </c>
      <c r="M324" s="6" t="str">
        <f>J324</f>
        <v>STOP</v>
      </c>
    </row>
    <row r="325" spans="2:13" ht="4.95" customHeight="1" x14ac:dyDescent="0.3">
      <c r="B325" s="90"/>
      <c r="C325" s="30"/>
      <c r="D325" s="34"/>
      <c r="E325" s="36"/>
      <c r="F325" s="30"/>
    </row>
    <row r="326" spans="2:13" ht="4.95" customHeight="1" x14ac:dyDescent="0.3">
      <c r="B326" s="90"/>
      <c r="C326" s="109"/>
      <c r="D326" s="109"/>
      <c r="E326" s="109"/>
      <c r="F326" s="109"/>
      <c r="G326" s="109"/>
      <c r="H326" s="109"/>
    </row>
    <row r="327" spans="2:13" s="18" customFormat="1" ht="4.95" customHeight="1" x14ac:dyDescent="0.3">
      <c r="B327" s="92"/>
      <c r="D327" s="40"/>
      <c r="E327" s="23"/>
      <c r="F327" s="24"/>
    </row>
    <row r="328" spans="2:13" x14ac:dyDescent="0.3">
      <c r="B328" s="90"/>
      <c r="C328" s="107" t="e">
        <f>#REF!</f>
        <v>#REF!</v>
      </c>
      <c r="D328" s="43" t="s">
        <v>290</v>
      </c>
      <c r="E328" s="107" t="e">
        <f>#REF!</f>
        <v>#REF!</v>
      </c>
      <c r="F328" s="43" t="s">
        <v>291</v>
      </c>
      <c r="G328" s="107" t="e">
        <f>#REF!</f>
        <v>#REF!</v>
      </c>
      <c r="H328" s="41" t="s">
        <v>292</v>
      </c>
      <c r="J328" s="6" t="str">
        <f t="shared" ref="J328" si="115">IF(ISERR(FIND($J$15,C328,1)),"STOP","GO")</f>
        <v>STOP</v>
      </c>
      <c r="K328" s="6" t="str">
        <f t="shared" ref="K328" si="116">IF(ISERR(FIND($J$15,E328,1)),"STOP","GO")</f>
        <v>STOP</v>
      </c>
      <c r="L328" s="6" t="str">
        <f t="shared" ref="L328" si="117">IF(ISERR(FIND($J$15,G328,1)),"STOP","GO")</f>
        <v>STOP</v>
      </c>
    </row>
    <row r="329" spans="2:13" ht="15" hidden="1" x14ac:dyDescent="0.25">
      <c r="B329" s="90"/>
    </row>
    <row r="330" spans="2:13" ht="15" hidden="1" x14ac:dyDescent="0.25">
      <c r="B330" s="93" t="s">
        <v>135</v>
      </c>
      <c r="D330" s="15"/>
    </row>
    <row r="331" spans="2:13" ht="4.95" hidden="1" customHeight="1" x14ac:dyDescent="0.25">
      <c r="B331" s="90"/>
      <c r="C331" s="30"/>
      <c r="D331" s="34"/>
      <c r="E331" s="36"/>
      <c r="F331" s="30"/>
    </row>
    <row r="332" spans="2:13" ht="4.95" hidden="1" customHeight="1" x14ac:dyDescent="0.25">
      <c r="B332" s="90"/>
      <c r="C332" s="109"/>
      <c r="D332" s="109"/>
      <c r="E332" s="109"/>
      <c r="F332" s="109"/>
      <c r="G332" s="109"/>
      <c r="H332" s="109"/>
    </row>
    <row r="333" spans="2:13" s="18" customFormat="1" ht="4.95" hidden="1" customHeight="1" x14ac:dyDescent="0.25">
      <c r="B333" s="92"/>
      <c r="D333" s="40"/>
      <c r="E333" s="23"/>
      <c r="F333" s="24"/>
    </row>
    <row r="334" spans="2:13" ht="15" hidden="1" x14ac:dyDescent="0.25">
      <c r="B334" s="90"/>
      <c r="C334" s="108" t="e">
        <f>#REF!</f>
        <v>#REF!</v>
      </c>
      <c r="D334" s="34" t="s">
        <v>361</v>
      </c>
      <c r="E334" s="36"/>
      <c r="F334" s="30"/>
    </row>
    <row r="335" spans="2:13" ht="4.95" hidden="1" customHeight="1" x14ac:dyDescent="0.25">
      <c r="B335" s="90"/>
      <c r="C335" s="30"/>
      <c r="D335" s="34"/>
      <c r="E335" s="36"/>
      <c r="F335" s="30"/>
    </row>
    <row r="336" spans="2:13" ht="4.95" hidden="1" customHeight="1" x14ac:dyDescent="0.25">
      <c r="B336" s="90"/>
      <c r="C336" s="109"/>
      <c r="D336" s="109"/>
      <c r="E336" s="109"/>
      <c r="F336" s="109"/>
      <c r="G336" s="109"/>
      <c r="H336" s="109"/>
    </row>
    <row r="337" spans="2:8" s="18" customFormat="1" ht="4.95" hidden="1" customHeight="1" x14ac:dyDescent="0.25">
      <c r="B337" s="92"/>
      <c r="D337" s="40"/>
      <c r="E337" s="23"/>
      <c r="F337" s="24"/>
    </row>
    <row r="338" spans="2:8" ht="15" hidden="1" x14ac:dyDescent="0.25">
      <c r="B338" s="90"/>
      <c r="C338" s="107" t="e">
        <f>#REF!</f>
        <v>#REF!</v>
      </c>
      <c r="D338" s="43" t="s">
        <v>294</v>
      </c>
      <c r="E338" s="107" t="e">
        <f>#REF!</f>
        <v>#REF!</v>
      </c>
      <c r="F338" s="41" t="s">
        <v>295</v>
      </c>
      <c r="G338" s="30"/>
      <c r="H338" s="41"/>
    </row>
    <row r="339" spans="2:8" x14ac:dyDescent="0.3">
      <c r="B339" s="93"/>
      <c r="C339" s="49"/>
    </row>
    <row r="340" spans="2:8" x14ac:dyDescent="0.3">
      <c r="B340" s="93" t="s">
        <v>136</v>
      </c>
      <c r="D340" s="15"/>
    </row>
    <row r="341" spans="2:8" ht="4.95" customHeight="1" x14ac:dyDescent="0.3">
      <c r="B341" s="90"/>
      <c r="C341" s="30"/>
      <c r="D341" s="34"/>
      <c r="E341" s="36"/>
      <c r="F341" s="30"/>
    </row>
    <row r="342" spans="2:8" ht="4.95" customHeight="1" x14ac:dyDescent="0.3">
      <c r="B342" s="90"/>
      <c r="C342" s="109"/>
      <c r="D342" s="109"/>
      <c r="E342" s="109"/>
      <c r="F342" s="109"/>
      <c r="G342" s="109"/>
      <c r="H342" s="109"/>
    </row>
    <row r="343" spans="2:8" s="18" customFormat="1" ht="4.95" customHeight="1" x14ac:dyDescent="0.3">
      <c r="B343" s="92"/>
      <c r="D343" s="40"/>
      <c r="E343" s="23"/>
      <c r="F343" s="24"/>
    </row>
    <row r="344" spans="2:8" x14ac:dyDescent="0.3">
      <c r="B344" s="90"/>
      <c r="C344" s="108" t="e">
        <f>#REF!</f>
        <v>#REF!</v>
      </c>
      <c r="D344" s="34" t="s">
        <v>361</v>
      </c>
      <c r="E344" s="36"/>
      <c r="F344" s="30"/>
    </row>
    <row r="345" spans="2:8" ht="4.95" customHeight="1" x14ac:dyDescent="0.3">
      <c r="B345" s="90"/>
      <c r="C345" s="30"/>
      <c r="D345" s="34"/>
      <c r="E345" s="36"/>
      <c r="F345" s="30"/>
    </row>
    <row r="346" spans="2:8" ht="4.95" customHeight="1" x14ac:dyDescent="0.3">
      <c r="B346" s="90"/>
      <c r="C346" s="109"/>
      <c r="D346" s="109"/>
      <c r="E346" s="109"/>
      <c r="F346" s="109"/>
      <c r="G346" s="109"/>
      <c r="H346" s="109"/>
    </row>
    <row r="347" spans="2:8" s="18" customFormat="1" ht="4.95" customHeight="1" x14ac:dyDescent="0.3">
      <c r="B347" s="92"/>
      <c r="D347" s="40"/>
      <c r="E347" s="23"/>
      <c r="F347" s="24"/>
    </row>
    <row r="348" spans="2:8" x14ac:dyDescent="0.3">
      <c r="B348" s="90"/>
      <c r="C348" s="107" t="e">
        <f>#REF!</f>
        <v>#REF!</v>
      </c>
      <c r="D348" s="43" t="s">
        <v>297</v>
      </c>
      <c r="E348" s="107" t="e">
        <f>#REF!</f>
        <v>#REF!</v>
      </c>
      <c r="F348" s="43" t="s">
        <v>299</v>
      </c>
      <c r="G348" s="107" t="e">
        <f>#REF!</f>
        <v>#REF!</v>
      </c>
      <c r="H348" s="41" t="s">
        <v>301</v>
      </c>
    </row>
    <row r="349" spans="2:8" ht="4.95" customHeight="1" x14ac:dyDescent="0.3">
      <c r="B349" s="90"/>
      <c r="D349" s="43"/>
      <c r="F349" s="43"/>
      <c r="H349" s="41"/>
    </row>
    <row r="350" spans="2:8" x14ac:dyDescent="0.3">
      <c r="B350" s="90"/>
      <c r="C350" s="107" t="e">
        <f>#REF!</f>
        <v>#REF!</v>
      </c>
      <c r="D350" s="43" t="s">
        <v>298</v>
      </c>
      <c r="E350" s="107" t="e">
        <f>#REF!</f>
        <v>#REF!</v>
      </c>
      <c r="F350" s="43" t="s">
        <v>300</v>
      </c>
      <c r="G350" s="30"/>
      <c r="H350" s="41"/>
    </row>
    <row r="351" spans="2:8" x14ac:dyDescent="0.3">
      <c r="B351" s="93"/>
      <c r="C351" s="49"/>
    </row>
    <row r="352" spans="2:8" ht="22.8" x14ac:dyDescent="0.3">
      <c r="B352" s="90"/>
      <c r="D352" s="181" t="s">
        <v>331</v>
      </c>
      <c r="E352" s="181"/>
      <c r="F352" s="181"/>
      <c r="G352" s="181"/>
      <c r="H352" s="181"/>
    </row>
    <row r="353" spans="2:8" ht="46.95" customHeight="1" x14ac:dyDescent="0.3">
      <c r="B353" s="90"/>
      <c r="D353" s="190" t="s">
        <v>332</v>
      </c>
      <c r="E353" s="190"/>
      <c r="F353" s="190"/>
      <c r="G353" s="190"/>
      <c r="H353" s="190"/>
    </row>
    <row r="354" spans="2:8" x14ac:dyDescent="0.3">
      <c r="B354" s="90"/>
      <c r="D354" s="112" t="s">
        <v>326</v>
      </c>
      <c r="E354" s="55"/>
      <c r="F354" s="112" t="s">
        <v>327</v>
      </c>
      <c r="H354" s="112" t="s">
        <v>328</v>
      </c>
    </row>
    <row r="355" spans="2:8" ht="15" thickBot="1" x14ac:dyDescent="0.35">
      <c r="B355" s="90"/>
    </row>
    <row r="356" spans="2:8" ht="15.6" thickTop="1" thickBot="1" x14ac:dyDescent="0.35">
      <c r="B356" s="95" t="s">
        <v>139</v>
      </c>
      <c r="C356" s="56"/>
      <c r="D356" s="113"/>
      <c r="E356" s="57"/>
      <c r="F356" s="113"/>
      <c r="G356" s="58"/>
      <c r="H356" s="113"/>
    </row>
    <row r="357" spans="2:8" ht="15" thickTop="1" x14ac:dyDescent="0.3">
      <c r="B357" s="90"/>
      <c r="D357" s="58"/>
      <c r="E357" s="59"/>
      <c r="F357" s="58"/>
      <c r="G357" s="58"/>
      <c r="H357" s="58"/>
    </row>
    <row r="358" spans="2:8" ht="36" customHeight="1" x14ac:dyDescent="0.3">
      <c r="B358" s="95" t="s">
        <v>137</v>
      </c>
      <c r="C358" s="56"/>
      <c r="D358" s="114"/>
      <c r="E358" s="60"/>
      <c r="F358" s="114"/>
      <c r="G358" s="58"/>
      <c r="H358" s="114"/>
    </row>
    <row r="359" spans="2:8" x14ac:dyDescent="0.3">
      <c r="B359" s="96"/>
      <c r="C359" s="61"/>
      <c r="D359" s="58"/>
      <c r="E359" s="59"/>
      <c r="F359" s="58"/>
      <c r="G359" s="58"/>
      <c r="H359" s="58"/>
    </row>
    <row r="360" spans="2:8" x14ac:dyDescent="0.3">
      <c r="B360" s="95" t="s">
        <v>138</v>
      </c>
      <c r="C360" s="56"/>
      <c r="D360" s="114"/>
      <c r="E360" s="60"/>
      <c r="F360" s="114"/>
      <c r="G360" s="58"/>
      <c r="H360" s="114"/>
    </row>
    <row r="361" spans="2:8" x14ac:dyDescent="0.3">
      <c r="B361" s="90"/>
      <c r="E361" s="62"/>
    </row>
    <row r="362" spans="2:8" x14ac:dyDescent="0.3">
      <c r="B362" s="90"/>
      <c r="D362" s="112" t="s">
        <v>329</v>
      </c>
      <c r="E362" s="55"/>
      <c r="F362" s="112" t="s">
        <v>330</v>
      </c>
      <c r="H362" s="112" t="s">
        <v>370</v>
      </c>
    </row>
    <row r="363" spans="2:8" ht="15" thickBot="1" x14ac:dyDescent="0.35">
      <c r="B363" s="90"/>
      <c r="E363" s="62"/>
    </row>
    <row r="364" spans="2:8" ht="15.6" thickTop="1" thickBot="1" x14ac:dyDescent="0.35">
      <c r="B364" s="95" t="s">
        <v>139</v>
      </c>
      <c r="C364" s="56"/>
      <c r="D364" s="113"/>
      <c r="E364" s="57"/>
      <c r="F364" s="113"/>
      <c r="G364" s="58"/>
      <c r="H364" s="113"/>
    </row>
    <row r="365" spans="2:8" ht="15" thickTop="1" x14ac:dyDescent="0.3">
      <c r="B365" s="90"/>
      <c r="D365" s="58"/>
      <c r="E365" s="59"/>
      <c r="F365" s="58"/>
      <c r="G365" s="58"/>
      <c r="H365" s="58"/>
    </row>
    <row r="366" spans="2:8" ht="36" customHeight="1" x14ac:dyDescent="0.3">
      <c r="B366" s="95" t="s">
        <v>137</v>
      </c>
      <c r="C366" s="56"/>
      <c r="D366" s="114"/>
      <c r="E366" s="60"/>
      <c r="F366" s="114"/>
      <c r="G366" s="58"/>
      <c r="H366" s="114"/>
    </row>
    <row r="367" spans="2:8" x14ac:dyDescent="0.3">
      <c r="B367" s="96"/>
      <c r="C367" s="61"/>
      <c r="D367" s="58"/>
      <c r="E367" s="59"/>
      <c r="F367" s="58"/>
      <c r="G367" s="58"/>
      <c r="H367" s="58"/>
    </row>
    <row r="368" spans="2:8" x14ac:dyDescent="0.3">
      <c r="B368" s="95" t="s">
        <v>138</v>
      </c>
      <c r="C368" s="56"/>
      <c r="D368" s="114"/>
      <c r="E368" s="60"/>
      <c r="F368" s="114"/>
      <c r="G368" s="58"/>
      <c r="H368" s="114"/>
    </row>
    <row r="369" spans="2:8" x14ac:dyDescent="0.3">
      <c r="B369" s="90"/>
      <c r="E369" s="62"/>
    </row>
    <row r="370" spans="2:8" ht="22.8" x14ac:dyDescent="0.3">
      <c r="B370" s="90"/>
      <c r="D370" s="181" t="s">
        <v>333</v>
      </c>
      <c r="E370" s="181"/>
      <c r="F370" s="181"/>
      <c r="G370" s="181"/>
      <c r="H370" s="181"/>
    </row>
    <row r="371" spans="2:8" ht="44.4" customHeight="1" x14ac:dyDescent="0.3">
      <c r="B371" s="90"/>
      <c r="D371" s="190" t="s">
        <v>339</v>
      </c>
      <c r="E371" s="190"/>
      <c r="F371" s="190"/>
      <c r="G371" s="190"/>
      <c r="H371" s="190"/>
    </row>
    <row r="372" spans="2:8" x14ac:dyDescent="0.3">
      <c r="B372" s="90"/>
      <c r="D372" s="112" t="s">
        <v>334</v>
      </c>
      <c r="E372" s="55"/>
      <c r="F372" s="112" t="s">
        <v>335</v>
      </c>
      <c r="H372" s="112" t="s">
        <v>336</v>
      </c>
    </row>
    <row r="373" spans="2:8" x14ac:dyDescent="0.3">
      <c r="B373" s="90"/>
    </row>
    <row r="374" spans="2:8" ht="36" customHeight="1" x14ac:dyDescent="0.3">
      <c r="B374" s="95" t="s">
        <v>137</v>
      </c>
      <c r="C374" s="56"/>
      <c r="D374" s="110" t="e">
        <f>IF(ISBLANK(#REF!),"",#REF!)</f>
        <v>#REF!</v>
      </c>
      <c r="E374" s="47"/>
      <c r="F374" s="110" t="e">
        <f>IF(ISBLANK(#REF!),"",#REF!)</f>
        <v>#REF!</v>
      </c>
      <c r="H374" s="110" t="e">
        <f>IF(ISBLANK(#REF!),"",#REF!)</f>
        <v>#REF!</v>
      </c>
    </row>
    <row r="375" spans="2:8" x14ac:dyDescent="0.3">
      <c r="B375" s="96"/>
      <c r="C375" s="61"/>
      <c r="E375" s="62"/>
    </row>
    <row r="376" spans="2:8" x14ac:dyDescent="0.3">
      <c r="B376" s="95" t="s">
        <v>140</v>
      </c>
      <c r="C376" s="56"/>
      <c r="D376" s="115" t="e">
        <f>IF(ISBLANK(#REF!),"",#REF!)</f>
        <v>#REF!</v>
      </c>
      <c r="E376" s="63"/>
      <c r="F376" s="115" t="e">
        <f>IF(ISBLANK(#REF!),"",#REF!)</f>
        <v>#REF!</v>
      </c>
      <c r="H376" s="115" t="e">
        <f>IF(ISBLANK(#REF!),"",#REF!)</f>
        <v>#REF!</v>
      </c>
    </row>
    <row r="377" spans="2:8" x14ac:dyDescent="0.3">
      <c r="B377" s="90"/>
      <c r="E377" s="62"/>
    </row>
    <row r="378" spans="2:8" x14ac:dyDescent="0.3">
      <c r="B378" s="90"/>
      <c r="D378" s="112" t="s">
        <v>337</v>
      </c>
      <c r="E378" s="55"/>
      <c r="F378" s="112" t="s">
        <v>338</v>
      </c>
      <c r="H378" s="112" t="s">
        <v>374</v>
      </c>
    </row>
    <row r="379" spans="2:8" x14ac:dyDescent="0.3">
      <c r="B379" s="90"/>
      <c r="E379" s="62"/>
    </row>
    <row r="380" spans="2:8" ht="36" customHeight="1" x14ac:dyDescent="0.3">
      <c r="B380" s="95" t="s">
        <v>137</v>
      </c>
      <c r="C380" s="56"/>
      <c r="D380" s="110" t="e">
        <f>IF(ISBLANK(#REF!),"",#REF!)</f>
        <v>#REF!</v>
      </c>
      <c r="E380" s="47"/>
      <c r="F380" s="110" t="e">
        <f>IF(ISBLANK(#REF!),"",#REF!)</f>
        <v>#REF!</v>
      </c>
      <c r="H380" s="110" t="e">
        <f>IF(ISBLANK(#REF!),"",#REF!)</f>
        <v>#REF!</v>
      </c>
    </row>
    <row r="381" spans="2:8" x14ac:dyDescent="0.3">
      <c r="B381" s="96"/>
      <c r="C381" s="61"/>
      <c r="E381" s="62"/>
    </row>
    <row r="382" spans="2:8" x14ac:dyDescent="0.3">
      <c r="B382" s="95" t="s">
        <v>140</v>
      </c>
      <c r="C382" s="56"/>
      <c r="D382" s="115" t="e">
        <f>IF(ISBLANK(#REF!),"",#REF!)</f>
        <v>#REF!</v>
      </c>
      <c r="E382" s="63"/>
      <c r="F382" s="115" t="e">
        <f>IF(ISBLANK(#REF!),"",#REF!)</f>
        <v>#REF!</v>
      </c>
      <c r="H382" s="115" t="e">
        <f>IF(ISBLANK(#REF!),"",#REF!)</f>
        <v>#REF!</v>
      </c>
    </row>
    <row r="383" spans="2:8" x14ac:dyDescent="0.3">
      <c r="E383" s="62"/>
    </row>
    <row r="384" spans="2:8" ht="22.8" x14ac:dyDescent="0.3">
      <c r="D384" s="181" t="s">
        <v>379</v>
      </c>
      <c r="E384" s="181"/>
      <c r="F384" s="181"/>
      <c r="G384" s="181"/>
      <c r="H384" s="181"/>
    </row>
    <row r="386" spans="2:9" x14ac:dyDescent="0.3">
      <c r="B386" s="64" t="s">
        <v>375</v>
      </c>
      <c r="D386" s="182"/>
      <c r="E386" s="183"/>
      <c r="F386" s="183"/>
      <c r="G386" s="183"/>
      <c r="H386" s="184"/>
      <c r="I386" s="9" t="str">
        <f>CONCATENATE(LEN(D386)," of 500 characters")</f>
        <v>0 of 500 characters</v>
      </c>
    </row>
    <row r="387" spans="2:9" x14ac:dyDescent="0.3">
      <c r="E387" s="62"/>
    </row>
    <row r="388" spans="2:9" x14ac:dyDescent="0.3">
      <c r="B388" s="64" t="s">
        <v>376</v>
      </c>
      <c r="D388" s="182"/>
      <c r="E388" s="183"/>
      <c r="F388" s="183"/>
      <c r="G388" s="183"/>
      <c r="H388" s="184"/>
      <c r="I388" s="9" t="str">
        <f>CONCATENATE(LEN(D388)," of 500 characters")</f>
        <v>0 of 500 characters</v>
      </c>
    </row>
    <row r="389" spans="2:9" ht="15" thickBot="1" x14ac:dyDescent="0.35">
      <c r="E389" s="62"/>
    </row>
    <row r="390" spans="2:9" ht="15.6" thickTop="1" thickBot="1" x14ac:dyDescent="0.35">
      <c r="B390" s="64" t="s">
        <v>377</v>
      </c>
      <c r="D390" s="3"/>
      <c r="E390" s="47"/>
      <c r="I390" s="9"/>
    </row>
    <row r="391" spans="2:9" ht="15" thickTop="1" x14ac:dyDescent="0.3">
      <c r="E391" s="62"/>
    </row>
    <row r="392" spans="2:9" x14ac:dyDescent="0.3">
      <c r="B392" s="64" t="s">
        <v>378</v>
      </c>
      <c r="D392" s="182"/>
      <c r="E392" s="183"/>
      <c r="F392" s="183"/>
      <c r="G392" s="183"/>
      <c r="H392" s="184"/>
      <c r="I392" s="9" t="str">
        <f>CONCATENATE(LEN(D392)," of 500 characters")</f>
        <v>0 of 500 characters</v>
      </c>
    </row>
    <row r="394" spans="2:9" ht="4.95" customHeight="1" x14ac:dyDescent="0.3">
      <c r="B394" s="109"/>
      <c r="C394" s="109"/>
      <c r="D394" s="109"/>
      <c r="E394" s="109"/>
      <c r="F394" s="109"/>
      <c r="G394" s="109"/>
      <c r="H394" s="109"/>
    </row>
    <row r="395" spans="2:9" s="18" customFormat="1" ht="4.95" customHeight="1" x14ac:dyDescent="0.3">
      <c r="D395" s="40"/>
      <c r="E395" s="23"/>
      <c r="F395" s="24"/>
    </row>
    <row r="396" spans="2:9" x14ac:dyDescent="0.3">
      <c r="C396" s="30"/>
      <c r="D396" s="34"/>
      <c r="E396" s="36"/>
      <c r="F396" s="30"/>
    </row>
    <row r="397" spans="2:9" ht="4.95" customHeight="1" x14ac:dyDescent="0.3">
      <c r="C397" s="30"/>
      <c r="D397" s="34"/>
      <c r="E397" s="36"/>
      <c r="F397" s="30"/>
    </row>
    <row r="398" spans="2:9" ht="4.95" customHeight="1" x14ac:dyDescent="0.3">
      <c r="B398" s="109"/>
      <c r="C398" s="109"/>
      <c r="D398" s="109"/>
      <c r="E398" s="109"/>
      <c r="F398" s="109"/>
      <c r="G398" s="109"/>
      <c r="H398" s="109"/>
    </row>
    <row r="403" spans="9:14" x14ac:dyDescent="0.3">
      <c r="I403" s="18"/>
      <c r="J403" s="18"/>
      <c r="K403" s="18"/>
      <c r="L403" s="18"/>
      <c r="M403" s="18"/>
      <c r="N403" s="18"/>
    </row>
    <row r="427" spans="2:2" ht="15" hidden="1" x14ac:dyDescent="0.25"/>
    <row r="428" spans="2:2" ht="15" hidden="1" x14ac:dyDescent="0.25">
      <c r="B428" s="69" t="s">
        <v>353</v>
      </c>
    </row>
    <row r="429" spans="2:2" ht="15" hidden="1" x14ac:dyDescent="0.25">
      <c r="B429" s="70" t="s">
        <v>397</v>
      </c>
    </row>
    <row r="430" spans="2:2" ht="15" hidden="1" x14ac:dyDescent="0.25">
      <c r="B430" s="18" t="s">
        <v>359</v>
      </c>
    </row>
    <row r="431" spans="2:2" ht="15" hidden="1" x14ac:dyDescent="0.25"/>
    <row r="432" spans="2:2" ht="15" hidden="1" x14ac:dyDescent="0.25"/>
    <row r="433" spans="2:3" ht="15" hidden="1" x14ac:dyDescent="0.25">
      <c r="B433" s="69" t="s">
        <v>148</v>
      </c>
      <c r="C433" s="69"/>
    </row>
    <row r="434" spans="2:3" ht="15" hidden="1" x14ac:dyDescent="0.25">
      <c r="B434" s="18" t="s">
        <v>142</v>
      </c>
      <c r="C434" s="18"/>
    </row>
    <row r="435" spans="2:3" ht="15" hidden="1" x14ac:dyDescent="0.25">
      <c r="B435" s="18" t="s">
        <v>143</v>
      </c>
      <c r="C435" s="18"/>
    </row>
    <row r="436" spans="2:3" ht="15" hidden="1" x14ac:dyDescent="0.25">
      <c r="B436" s="18" t="s">
        <v>144</v>
      </c>
      <c r="C436" s="18"/>
    </row>
    <row r="437" spans="2:3" ht="15" hidden="1" x14ac:dyDescent="0.25">
      <c r="B437" s="18" t="s">
        <v>145</v>
      </c>
      <c r="C437" s="18"/>
    </row>
    <row r="438" spans="2:3" ht="15" hidden="1" x14ac:dyDescent="0.25">
      <c r="B438" s="18" t="s">
        <v>146</v>
      </c>
      <c r="C438" s="18"/>
    </row>
    <row r="439" spans="2:3" ht="15" hidden="1" x14ac:dyDescent="0.25">
      <c r="B439" s="18" t="s">
        <v>147</v>
      </c>
      <c r="C439" s="18"/>
    </row>
    <row r="440" spans="2:3" ht="15" hidden="1" x14ac:dyDescent="0.25"/>
    <row r="441" spans="2:3" ht="15" hidden="1" x14ac:dyDescent="0.25">
      <c r="B441" s="69" t="s">
        <v>149</v>
      </c>
      <c r="C441" s="69"/>
    </row>
    <row r="442" spans="2:3" ht="15" hidden="1" x14ac:dyDescent="0.25">
      <c r="B442" s="18" t="s">
        <v>150</v>
      </c>
      <c r="C442" s="18"/>
    </row>
    <row r="443" spans="2:3" ht="15" hidden="1" x14ac:dyDescent="0.25">
      <c r="B443" s="18" t="s">
        <v>151</v>
      </c>
      <c r="C443" s="18"/>
    </row>
    <row r="444" spans="2:3" ht="15" hidden="1" x14ac:dyDescent="0.25"/>
    <row r="445" spans="2:3" ht="15" hidden="1" x14ac:dyDescent="0.25">
      <c r="B445" s="69" t="s">
        <v>156</v>
      </c>
      <c r="C445" s="69"/>
    </row>
    <row r="446" spans="2:3" ht="15" hidden="1" x14ac:dyDescent="0.25">
      <c r="B446" s="71" t="s">
        <v>152</v>
      </c>
      <c r="C446" s="71"/>
    </row>
    <row r="447" spans="2:3" ht="15" hidden="1" x14ac:dyDescent="0.25">
      <c r="B447" s="71" t="s">
        <v>153</v>
      </c>
      <c r="C447" s="71"/>
    </row>
    <row r="448" spans="2:3" ht="15" hidden="1" x14ac:dyDescent="0.25">
      <c r="B448" s="71" t="s">
        <v>154</v>
      </c>
      <c r="C448" s="71"/>
    </row>
    <row r="449" spans="2:3" ht="15" hidden="1" x14ac:dyDescent="0.25">
      <c r="B449" s="71" t="s">
        <v>155</v>
      </c>
      <c r="C449" s="71"/>
    </row>
    <row r="450" spans="2:3" ht="15" hidden="1" x14ac:dyDescent="0.25"/>
    <row r="451" spans="2:3" ht="15" hidden="1" x14ac:dyDescent="0.25">
      <c r="B451" s="72" t="s">
        <v>183</v>
      </c>
      <c r="C451" s="72"/>
    </row>
    <row r="452" spans="2:3" ht="15" hidden="1" x14ac:dyDescent="0.25">
      <c r="B452" s="73" t="s">
        <v>157</v>
      </c>
      <c r="C452" s="73"/>
    </row>
    <row r="453" spans="2:3" ht="15" hidden="1" x14ac:dyDescent="0.25">
      <c r="B453" s="73" t="s">
        <v>158</v>
      </c>
      <c r="C453" s="73"/>
    </row>
    <row r="454" spans="2:3" ht="15" hidden="1" x14ac:dyDescent="0.25">
      <c r="B454" s="73" t="s">
        <v>159</v>
      </c>
      <c r="C454" s="73"/>
    </row>
    <row r="455" spans="2:3" ht="15" hidden="1" x14ac:dyDescent="0.25">
      <c r="B455" s="73" t="s">
        <v>160</v>
      </c>
      <c r="C455" s="73"/>
    </row>
    <row r="456" spans="2:3" ht="15" hidden="1" x14ac:dyDescent="0.25">
      <c r="B456" s="73" t="s">
        <v>161</v>
      </c>
      <c r="C456" s="73"/>
    </row>
    <row r="457" spans="2:3" ht="15" hidden="1" x14ac:dyDescent="0.25">
      <c r="B457" s="74" t="s">
        <v>162</v>
      </c>
      <c r="C457" s="74"/>
    </row>
    <row r="458" spans="2:3" ht="15" hidden="1" x14ac:dyDescent="0.25">
      <c r="B458" s="74" t="s">
        <v>163</v>
      </c>
      <c r="C458" s="74"/>
    </row>
    <row r="459" spans="2:3" ht="15" hidden="1" x14ac:dyDescent="0.25">
      <c r="B459" s="74" t="s">
        <v>164</v>
      </c>
      <c r="C459" s="74"/>
    </row>
    <row r="460" spans="2:3" ht="15" hidden="1" x14ac:dyDescent="0.25">
      <c r="B460" s="74" t="s">
        <v>165</v>
      </c>
      <c r="C460" s="74"/>
    </row>
    <row r="461" spans="2:3" ht="15" hidden="1" x14ac:dyDescent="0.25">
      <c r="B461" s="73" t="s">
        <v>166</v>
      </c>
      <c r="C461" s="73"/>
    </row>
    <row r="462" spans="2:3" ht="15" hidden="1" x14ac:dyDescent="0.25">
      <c r="B462" s="74" t="s">
        <v>167</v>
      </c>
      <c r="C462" s="74"/>
    </row>
    <row r="463" spans="2:3" ht="15" hidden="1" x14ac:dyDescent="0.25">
      <c r="B463" s="74" t="s">
        <v>168</v>
      </c>
      <c r="C463" s="74"/>
    </row>
    <row r="464" spans="2:3" ht="15" hidden="1" x14ac:dyDescent="0.25">
      <c r="B464" s="74" t="s">
        <v>169</v>
      </c>
      <c r="C464" s="74"/>
    </row>
    <row r="465" spans="2:3" ht="15" hidden="1" x14ac:dyDescent="0.25">
      <c r="B465" s="74" t="s">
        <v>170</v>
      </c>
      <c r="C465" s="74"/>
    </row>
    <row r="466" spans="2:3" ht="15" hidden="1" x14ac:dyDescent="0.25">
      <c r="B466" s="73" t="s">
        <v>171</v>
      </c>
      <c r="C466" s="73"/>
    </row>
    <row r="467" spans="2:3" ht="15" hidden="1" x14ac:dyDescent="0.25">
      <c r="B467" s="73" t="s">
        <v>172</v>
      </c>
      <c r="C467" s="73"/>
    </row>
    <row r="468" spans="2:3" ht="15" hidden="1" x14ac:dyDescent="0.25">
      <c r="B468" s="73" t="s">
        <v>173</v>
      </c>
      <c r="C468" s="73"/>
    </row>
    <row r="469" spans="2:3" ht="15" hidden="1" x14ac:dyDescent="0.25">
      <c r="B469" s="74" t="s">
        <v>174</v>
      </c>
      <c r="C469" s="74"/>
    </row>
    <row r="470" spans="2:3" ht="15" hidden="1" x14ac:dyDescent="0.25">
      <c r="B470" s="74" t="s">
        <v>175</v>
      </c>
      <c r="C470" s="74"/>
    </row>
    <row r="471" spans="2:3" ht="15" hidden="1" x14ac:dyDescent="0.25">
      <c r="B471" s="74" t="s">
        <v>176</v>
      </c>
      <c r="C471" s="74"/>
    </row>
    <row r="472" spans="2:3" ht="15" hidden="1" x14ac:dyDescent="0.25">
      <c r="B472" s="74" t="s">
        <v>177</v>
      </c>
      <c r="C472" s="74"/>
    </row>
    <row r="473" spans="2:3" ht="15" hidden="1" x14ac:dyDescent="0.25">
      <c r="B473" s="74" t="s">
        <v>178</v>
      </c>
      <c r="C473" s="74"/>
    </row>
    <row r="474" spans="2:3" ht="15" hidden="1" x14ac:dyDescent="0.25">
      <c r="B474" s="74" t="s">
        <v>179</v>
      </c>
      <c r="C474" s="74"/>
    </row>
    <row r="475" spans="2:3" ht="15" hidden="1" x14ac:dyDescent="0.25">
      <c r="B475" s="74" t="s">
        <v>180</v>
      </c>
      <c r="C475" s="74"/>
    </row>
    <row r="476" spans="2:3" ht="15" hidden="1" x14ac:dyDescent="0.25">
      <c r="B476" s="73" t="s">
        <v>181</v>
      </c>
      <c r="C476" s="73"/>
    </row>
    <row r="477" spans="2:3" ht="15" hidden="1" x14ac:dyDescent="0.25">
      <c r="B477" s="73" t="s">
        <v>182</v>
      </c>
      <c r="C477" s="73"/>
    </row>
    <row r="478" spans="2:3" ht="15" hidden="1" x14ac:dyDescent="0.25"/>
    <row r="479" spans="2:3" ht="15" hidden="1" x14ac:dyDescent="0.25">
      <c r="B479" s="75" t="s">
        <v>185</v>
      </c>
      <c r="C479" s="75"/>
    </row>
    <row r="480" spans="2:3" ht="15" hidden="1" x14ac:dyDescent="0.25">
      <c r="B480" s="76" t="s">
        <v>184</v>
      </c>
      <c r="C480" s="76"/>
    </row>
    <row r="481" spans="2:3" ht="15" hidden="1" x14ac:dyDescent="0.25">
      <c r="B481" s="76">
        <v>2</v>
      </c>
      <c r="C481" s="76"/>
    </row>
    <row r="482" spans="2:3" ht="15" hidden="1" x14ac:dyDescent="0.25">
      <c r="B482" s="76">
        <v>3</v>
      </c>
      <c r="C482" s="76"/>
    </row>
    <row r="483" spans="2:3" ht="15" hidden="1" x14ac:dyDescent="0.25">
      <c r="B483" s="76">
        <v>4</v>
      </c>
      <c r="C483" s="76"/>
    </row>
    <row r="484" spans="2:3" ht="15" hidden="1" x14ac:dyDescent="0.25">
      <c r="B484" s="6" t="s">
        <v>186</v>
      </c>
    </row>
    <row r="485" spans="2:3" ht="15" hidden="1" x14ac:dyDescent="0.25"/>
    <row r="486" spans="2:3" ht="15" hidden="1" x14ac:dyDescent="0.25">
      <c r="B486" s="77" t="s">
        <v>196</v>
      </c>
      <c r="C486" s="77"/>
    </row>
    <row r="487" spans="2:3" ht="15" hidden="1" x14ac:dyDescent="0.25">
      <c r="B487" s="78" t="s">
        <v>187</v>
      </c>
      <c r="C487" s="78"/>
    </row>
    <row r="488" spans="2:3" ht="15" hidden="1" x14ac:dyDescent="0.25">
      <c r="B488" s="78" t="s">
        <v>188</v>
      </c>
      <c r="C488" s="78"/>
    </row>
    <row r="489" spans="2:3" ht="15" hidden="1" x14ac:dyDescent="0.25">
      <c r="B489" s="78" t="s">
        <v>345</v>
      </c>
      <c r="C489" s="78"/>
    </row>
    <row r="490" spans="2:3" ht="15" hidden="1" x14ac:dyDescent="0.25">
      <c r="B490" s="78" t="s">
        <v>346</v>
      </c>
      <c r="C490" s="78"/>
    </row>
    <row r="491" spans="2:3" ht="15" hidden="1" x14ac:dyDescent="0.25">
      <c r="B491" s="78" t="s">
        <v>189</v>
      </c>
      <c r="C491" s="78"/>
    </row>
    <row r="492" spans="2:3" ht="15" hidden="1" x14ac:dyDescent="0.25">
      <c r="B492" s="78" t="s">
        <v>347</v>
      </c>
      <c r="C492" s="78"/>
    </row>
    <row r="493" spans="2:3" ht="15" hidden="1" x14ac:dyDescent="0.25">
      <c r="B493" s="78" t="s">
        <v>348</v>
      </c>
      <c r="C493" s="78"/>
    </row>
    <row r="494" spans="2:3" ht="15" hidden="1" x14ac:dyDescent="0.25">
      <c r="B494" s="78" t="s">
        <v>190</v>
      </c>
      <c r="C494" s="78"/>
    </row>
    <row r="495" spans="2:3" ht="15" hidden="1" x14ac:dyDescent="0.25">
      <c r="B495" s="78" t="s">
        <v>349</v>
      </c>
      <c r="C495" s="78"/>
    </row>
    <row r="496" spans="2:3" ht="15" hidden="1" x14ac:dyDescent="0.25">
      <c r="B496" s="78" t="s">
        <v>191</v>
      </c>
      <c r="C496" s="78"/>
    </row>
    <row r="497" spans="2:3" ht="15" hidden="1" x14ac:dyDescent="0.25">
      <c r="B497" s="78" t="s">
        <v>350</v>
      </c>
      <c r="C497" s="78"/>
    </row>
    <row r="498" spans="2:3" ht="15" hidden="1" x14ac:dyDescent="0.25">
      <c r="B498" s="78" t="s">
        <v>192</v>
      </c>
      <c r="C498" s="78"/>
    </row>
    <row r="499" spans="2:3" ht="15" hidden="1" x14ac:dyDescent="0.25">
      <c r="B499" s="78" t="s">
        <v>193</v>
      </c>
      <c r="C499" s="78"/>
    </row>
    <row r="500" spans="2:3" ht="15" hidden="1" x14ac:dyDescent="0.25">
      <c r="B500" s="78" t="s">
        <v>351</v>
      </c>
      <c r="C500" s="78"/>
    </row>
    <row r="501" spans="2:3" ht="15" hidden="1" x14ac:dyDescent="0.25">
      <c r="B501" s="78" t="s">
        <v>352</v>
      </c>
      <c r="C501" s="78"/>
    </row>
    <row r="502" spans="2:3" ht="15" hidden="1" x14ac:dyDescent="0.25">
      <c r="B502" s="78" t="s">
        <v>194</v>
      </c>
      <c r="C502" s="78"/>
    </row>
    <row r="503" spans="2:3" ht="15" hidden="1" x14ac:dyDescent="0.25">
      <c r="B503" s="78" t="s">
        <v>195</v>
      </c>
      <c r="C503" s="78"/>
    </row>
    <row r="504" spans="2:3" ht="15" hidden="1" x14ac:dyDescent="0.25">
      <c r="B504" s="78"/>
      <c r="C504" s="78"/>
    </row>
    <row r="505" spans="2:3" ht="15" hidden="1" x14ac:dyDescent="0.25"/>
    <row r="506" spans="2:3" ht="15" hidden="1" x14ac:dyDescent="0.25">
      <c r="B506" s="75" t="s">
        <v>252</v>
      </c>
      <c r="C506" s="75"/>
    </row>
    <row r="507" spans="2:3" ht="15" hidden="1" x14ac:dyDescent="0.25">
      <c r="B507" s="79" t="s">
        <v>197</v>
      </c>
      <c r="C507" s="79"/>
    </row>
    <row r="508" spans="2:3" ht="15" hidden="1" x14ac:dyDescent="0.25">
      <c r="B508" s="79" t="s">
        <v>198</v>
      </c>
      <c r="C508" s="79"/>
    </row>
    <row r="509" spans="2:3" ht="15" hidden="1" x14ac:dyDescent="0.25">
      <c r="B509" s="79" t="s">
        <v>199</v>
      </c>
      <c r="C509" s="79"/>
    </row>
    <row r="510" spans="2:3" ht="15" hidden="1" x14ac:dyDescent="0.25">
      <c r="B510" s="79" t="s">
        <v>200</v>
      </c>
      <c r="C510" s="79"/>
    </row>
    <row r="511" spans="2:3" ht="15" hidden="1" x14ac:dyDescent="0.25">
      <c r="B511" s="79" t="s">
        <v>201</v>
      </c>
      <c r="C511" s="79"/>
    </row>
    <row r="512" spans="2:3" ht="15" hidden="1" x14ac:dyDescent="0.25">
      <c r="B512" s="79" t="s">
        <v>202</v>
      </c>
      <c r="C512" s="79"/>
    </row>
    <row r="513" spans="2:3" ht="15" hidden="1" x14ac:dyDescent="0.25">
      <c r="B513" s="79" t="s">
        <v>203</v>
      </c>
      <c r="C513" s="79"/>
    </row>
    <row r="514" spans="2:3" ht="15" hidden="1" x14ac:dyDescent="0.25">
      <c r="B514" s="79" t="s">
        <v>204</v>
      </c>
      <c r="C514" s="79"/>
    </row>
    <row r="515" spans="2:3" ht="15" hidden="1" x14ac:dyDescent="0.25">
      <c r="B515" s="79" t="s">
        <v>205</v>
      </c>
      <c r="C515" s="79"/>
    </row>
    <row r="516" spans="2:3" ht="15" hidden="1" x14ac:dyDescent="0.25">
      <c r="B516" s="79" t="s">
        <v>206</v>
      </c>
      <c r="C516" s="79"/>
    </row>
    <row r="517" spans="2:3" ht="15" hidden="1" x14ac:dyDescent="0.25">
      <c r="B517" s="79" t="s">
        <v>207</v>
      </c>
      <c r="C517" s="79"/>
    </row>
    <row r="518" spans="2:3" ht="15" hidden="1" x14ac:dyDescent="0.25">
      <c r="B518" s="79" t="s">
        <v>208</v>
      </c>
      <c r="C518" s="79"/>
    </row>
    <row r="519" spans="2:3" ht="15" hidden="1" x14ac:dyDescent="0.25">
      <c r="B519" s="79" t="s">
        <v>209</v>
      </c>
      <c r="C519" s="79"/>
    </row>
    <row r="520" spans="2:3" ht="15" hidden="1" x14ac:dyDescent="0.25">
      <c r="B520" s="79" t="s">
        <v>210</v>
      </c>
      <c r="C520" s="79"/>
    </row>
    <row r="521" spans="2:3" ht="15" hidden="1" x14ac:dyDescent="0.25">
      <c r="B521" s="79" t="s">
        <v>211</v>
      </c>
      <c r="C521" s="79"/>
    </row>
    <row r="522" spans="2:3" ht="15" hidden="1" x14ac:dyDescent="0.25">
      <c r="B522" s="79" t="s">
        <v>212</v>
      </c>
      <c r="C522" s="79"/>
    </row>
    <row r="523" spans="2:3" ht="15" hidden="1" x14ac:dyDescent="0.25">
      <c r="B523" s="79" t="s">
        <v>213</v>
      </c>
      <c r="C523" s="79"/>
    </row>
    <row r="524" spans="2:3" ht="15" hidden="1" x14ac:dyDescent="0.25">
      <c r="B524" s="79" t="s">
        <v>214</v>
      </c>
      <c r="C524" s="79"/>
    </row>
    <row r="525" spans="2:3" ht="15" hidden="1" x14ac:dyDescent="0.25">
      <c r="B525" s="79" t="s">
        <v>215</v>
      </c>
      <c r="C525" s="79"/>
    </row>
    <row r="526" spans="2:3" ht="15" hidden="1" x14ac:dyDescent="0.25">
      <c r="B526" s="79" t="s">
        <v>216</v>
      </c>
      <c r="C526" s="79"/>
    </row>
    <row r="527" spans="2:3" ht="15" hidden="1" x14ac:dyDescent="0.25">
      <c r="B527" s="79" t="s">
        <v>217</v>
      </c>
      <c r="C527" s="79"/>
    </row>
    <row r="528" spans="2:3" ht="15" hidden="1" x14ac:dyDescent="0.25">
      <c r="B528" s="79" t="s">
        <v>218</v>
      </c>
      <c r="C528" s="79"/>
    </row>
    <row r="529" spans="2:3" ht="15" hidden="1" x14ac:dyDescent="0.25">
      <c r="B529" s="79" t="s">
        <v>219</v>
      </c>
      <c r="C529" s="79"/>
    </row>
    <row r="530" spans="2:3" ht="15" hidden="1" x14ac:dyDescent="0.25">
      <c r="B530" s="79" t="s">
        <v>220</v>
      </c>
      <c r="C530" s="79"/>
    </row>
    <row r="531" spans="2:3" ht="15" hidden="1" x14ac:dyDescent="0.25">
      <c r="B531" s="79" t="s">
        <v>221</v>
      </c>
      <c r="C531" s="79"/>
    </row>
    <row r="532" spans="2:3" ht="15" hidden="1" x14ac:dyDescent="0.25">
      <c r="B532" s="79" t="s">
        <v>222</v>
      </c>
      <c r="C532" s="79"/>
    </row>
    <row r="533" spans="2:3" ht="15" hidden="1" x14ac:dyDescent="0.25">
      <c r="B533" s="79" t="s">
        <v>223</v>
      </c>
      <c r="C533" s="79"/>
    </row>
    <row r="534" spans="2:3" ht="15" hidden="1" x14ac:dyDescent="0.25">
      <c r="B534" s="79" t="s">
        <v>224</v>
      </c>
      <c r="C534" s="79"/>
    </row>
    <row r="535" spans="2:3" ht="15" hidden="1" x14ac:dyDescent="0.25">
      <c r="B535" s="79" t="s">
        <v>225</v>
      </c>
      <c r="C535" s="79"/>
    </row>
    <row r="536" spans="2:3" ht="15" hidden="1" x14ac:dyDescent="0.25">
      <c r="B536" s="79" t="s">
        <v>226</v>
      </c>
      <c r="C536" s="79"/>
    </row>
    <row r="537" spans="2:3" ht="15" hidden="1" x14ac:dyDescent="0.25">
      <c r="B537" s="79" t="s">
        <v>227</v>
      </c>
      <c r="C537" s="79"/>
    </row>
    <row r="538" spans="2:3" ht="15" hidden="1" x14ac:dyDescent="0.25">
      <c r="B538" s="79" t="s">
        <v>228</v>
      </c>
      <c r="C538" s="79"/>
    </row>
    <row r="539" spans="2:3" ht="15" hidden="1" x14ac:dyDescent="0.25">
      <c r="B539" s="79" t="s">
        <v>229</v>
      </c>
      <c r="C539" s="79"/>
    </row>
    <row r="540" spans="2:3" ht="15" hidden="1" x14ac:dyDescent="0.25">
      <c r="B540" s="79" t="s">
        <v>230</v>
      </c>
      <c r="C540" s="79"/>
    </row>
    <row r="541" spans="2:3" ht="15" hidden="1" x14ac:dyDescent="0.25">
      <c r="B541" s="79" t="s">
        <v>231</v>
      </c>
      <c r="C541" s="79"/>
    </row>
    <row r="542" spans="2:3" ht="15" hidden="1" x14ac:dyDescent="0.25">
      <c r="B542" s="79" t="s">
        <v>232</v>
      </c>
      <c r="C542" s="79"/>
    </row>
    <row r="543" spans="2:3" ht="15" hidden="1" x14ac:dyDescent="0.25">
      <c r="B543" s="79" t="s">
        <v>233</v>
      </c>
      <c r="C543" s="79"/>
    </row>
    <row r="544" spans="2:3" ht="15" hidden="1" x14ac:dyDescent="0.25">
      <c r="B544" s="79" t="s">
        <v>234</v>
      </c>
      <c r="C544" s="79"/>
    </row>
    <row r="545" spans="2:3" ht="15" hidden="1" x14ac:dyDescent="0.25">
      <c r="B545" s="79" t="s">
        <v>235</v>
      </c>
      <c r="C545" s="79"/>
    </row>
    <row r="546" spans="2:3" ht="15" hidden="1" x14ac:dyDescent="0.25">
      <c r="B546" s="79" t="s">
        <v>236</v>
      </c>
      <c r="C546" s="79"/>
    </row>
    <row r="547" spans="2:3" ht="15" hidden="1" x14ac:dyDescent="0.25">
      <c r="B547" s="79" t="s">
        <v>237</v>
      </c>
      <c r="C547" s="79"/>
    </row>
    <row r="548" spans="2:3" ht="15" hidden="1" x14ac:dyDescent="0.25">
      <c r="B548" s="79" t="s">
        <v>238</v>
      </c>
      <c r="C548" s="79"/>
    </row>
    <row r="549" spans="2:3" ht="15" hidden="1" x14ac:dyDescent="0.25">
      <c r="B549" s="79" t="s">
        <v>158</v>
      </c>
      <c r="C549" s="79"/>
    </row>
    <row r="550" spans="2:3" ht="15" hidden="1" x14ac:dyDescent="0.25">
      <c r="B550" s="79" t="s">
        <v>239</v>
      </c>
      <c r="C550" s="79"/>
    </row>
    <row r="551" spans="2:3" ht="15" hidden="1" x14ac:dyDescent="0.25">
      <c r="B551" s="79" t="s">
        <v>240</v>
      </c>
      <c r="C551" s="79"/>
    </row>
    <row r="552" spans="2:3" ht="15" hidden="1" x14ac:dyDescent="0.25">
      <c r="B552" s="79" t="s">
        <v>241</v>
      </c>
      <c r="C552" s="79"/>
    </row>
    <row r="553" spans="2:3" ht="15" hidden="1" x14ac:dyDescent="0.25">
      <c r="B553" s="79" t="s">
        <v>242</v>
      </c>
      <c r="C553" s="79"/>
    </row>
    <row r="554" spans="2:3" ht="15" hidden="1" x14ac:dyDescent="0.25">
      <c r="B554" s="79" t="s">
        <v>243</v>
      </c>
      <c r="C554" s="79"/>
    </row>
    <row r="555" spans="2:3" ht="15" hidden="1" x14ac:dyDescent="0.25">
      <c r="B555" s="79" t="s">
        <v>244</v>
      </c>
      <c r="C555" s="79"/>
    </row>
    <row r="556" spans="2:3" ht="15" hidden="1" x14ac:dyDescent="0.25">
      <c r="B556" s="79" t="s">
        <v>245</v>
      </c>
      <c r="C556" s="79"/>
    </row>
    <row r="557" spans="2:3" ht="15" hidden="1" x14ac:dyDescent="0.25">
      <c r="B557" s="79" t="s">
        <v>246</v>
      </c>
      <c r="C557" s="79"/>
    </row>
    <row r="558" spans="2:3" ht="15" hidden="1" x14ac:dyDescent="0.25">
      <c r="B558" s="79" t="s">
        <v>247</v>
      </c>
      <c r="C558" s="79"/>
    </row>
    <row r="559" spans="2:3" ht="15" hidden="1" x14ac:dyDescent="0.25">
      <c r="B559" s="79" t="s">
        <v>248</v>
      </c>
      <c r="C559" s="79"/>
    </row>
    <row r="560" spans="2:3" ht="15" hidden="1" x14ac:dyDescent="0.25">
      <c r="B560" s="79" t="s">
        <v>249</v>
      </c>
      <c r="C560" s="79"/>
    </row>
    <row r="561" spans="2:3" ht="15" hidden="1" x14ac:dyDescent="0.25">
      <c r="B561" s="79" t="s">
        <v>250</v>
      </c>
      <c r="C561" s="79"/>
    </row>
    <row r="562" spans="2:3" ht="15" hidden="1" x14ac:dyDescent="0.25">
      <c r="B562" s="79" t="s">
        <v>251</v>
      </c>
      <c r="C562" s="79"/>
    </row>
    <row r="563" spans="2:3" ht="15" hidden="1" x14ac:dyDescent="0.25"/>
    <row r="564" spans="2:3" ht="15" hidden="1" x14ac:dyDescent="0.25">
      <c r="B564" s="77" t="s">
        <v>255</v>
      </c>
      <c r="C564" s="77"/>
    </row>
    <row r="565" spans="2:3" ht="15" hidden="1" x14ac:dyDescent="0.25">
      <c r="B565" s="79" t="s">
        <v>253</v>
      </c>
      <c r="C565" s="79"/>
    </row>
    <row r="566" spans="2:3" ht="15" hidden="1" x14ac:dyDescent="0.25">
      <c r="B566" s="79" t="s">
        <v>254</v>
      </c>
      <c r="C566" s="79"/>
    </row>
    <row r="567" spans="2:3" ht="15" hidden="1" x14ac:dyDescent="0.25"/>
    <row r="568" spans="2:3" ht="15" hidden="1" x14ac:dyDescent="0.25">
      <c r="B568" s="77" t="s">
        <v>269</v>
      </c>
      <c r="C568" s="77"/>
    </row>
    <row r="569" spans="2:3" ht="15" hidden="1" x14ac:dyDescent="0.25">
      <c r="B569" s="80" t="s">
        <v>256</v>
      </c>
      <c r="C569" s="80"/>
    </row>
    <row r="570" spans="2:3" ht="15" hidden="1" x14ac:dyDescent="0.25">
      <c r="B570" s="80" t="s">
        <v>257</v>
      </c>
      <c r="C570" s="80"/>
    </row>
    <row r="571" spans="2:3" ht="15" hidden="1" x14ac:dyDescent="0.25">
      <c r="B571" s="80" t="s">
        <v>258</v>
      </c>
      <c r="C571" s="80"/>
    </row>
    <row r="572" spans="2:3" ht="15" hidden="1" x14ac:dyDescent="0.25">
      <c r="B572" s="80" t="s">
        <v>259</v>
      </c>
      <c r="C572" s="80"/>
    </row>
    <row r="573" spans="2:3" ht="15" hidden="1" x14ac:dyDescent="0.25">
      <c r="B573" s="80" t="s">
        <v>162</v>
      </c>
      <c r="C573" s="80"/>
    </row>
    <row r="574" spans="2:3" ht="15" hidden="1" x14ac:dyDescent="0.25">
      <c r="B574" s="80" t="s">
        <v>260</v>
      </c>
      <c r="C574" s="80"/>
    </row>
    <row r="575" spans="2:3" ht="15" hidden="1" x14ac:dyDescent="0.25">
      <c r="B575" s="80" t="s">
        <v>167</v>
      </c>
      <c r="C575" s="80"/>
    </row>
    <row r="576" spans="2:3" ht="15" hidden="1" x14ac:dyDescent="0.25">
      <c r="B576" s="80" t="s">
        <v>261</v>
      </c>
      <c r="C576" s="80"/>
    </row>
    <row r="577" spans="2:3" ht="15" hidden="1" x14ac:dyDescent="0.25">
      <c r="B577" s="80" t="s">
        <v>262</v>
      </c>
      <c r="C577" s="80"/>
    </row>
    <row r="578" spans="2:3" ht="15" hidden="1" x14ac:dyDescent="0.25">
      <c r="B578" s="80" t="s">
        <v>263</v>
      </c>
      <c r="C578" s="80"/>
    </row>
    <row r="579" spans="2:3" ht="15" hidden="1" x14ac:dyDescent="0.25">
      <c r="B579" s="80" t="s">
        <v>264</v>
      </c>
      <c r="C579" s="80"/>
    </row>
    <row r="580" spans="2:3" ht="15" hidden="1" x14ac:dyDescent="0.25">
      <c r="B580" s="80" t="s">
        <v>265</v>
      </c>
      <c r="C580" s="80"/>
    </row>
    <row r="581" spans="2:3" ht="15" hidden="1" x14ac:dyDescent="0.25">
      <c r="B581" s="80" t="s">
        <v>266</v>
      </c>
      <c r="C581" s="80"/>
    </row>
    <row r="582" spans="2:3" ht="15" hidden="1" x14ac:dyDescent="0.25">
      <c r="B582" s="80" t="s">
        <v>267</v>
      </c>
      <c r="C582" s="80"/>
    </row>
    <row r="583" spans="2:3" ht="15" hidden="1" x14ac:dyDescent="0.25">
      <c r="B583" s="80" t="s">
        <v>268</v>
      </c>
      <c r="C583" s="80"/>
    </row>
    <row r="584" spans="2:3" ht="15" hidden="1" x14ac:dyDescent="0.25"/>
    <row r="585" spans="2:3" ht="15" hidden="1" x14ac:dyDescent="0.25">
      <c r="B585" s="77" t="s">
        <v>289</v>
      </c>
      <c r="C585" s="77"/>
    </row>
    <row r="586" spans="2:3" ht="15" hidden="1" x14ac:dyDescent="0.25">
      <c r="B586" s="79" t="s">
        <v>270</v>
      </c>
      <c r="C586" s="79"/>
    </row>
    <row r="587" spans="2:3" ht="15" hidden="1" x14ac:dyDescent="0.25">
      <c r="B587" s="81" t="s">
        <v>271</v>
      </c>
      <c r="C587" s="81"/>
    </row>
    <row r="588" spans="2:3" ht="15" hidden="1" x14ac:dyDescent="0.25">
      <c r="B588" s="81" t="s">
        <v>272</v>
      </c>
      <c r="C588" s="81"/>
    </row>
    <row r="589" spans="2:3" ht="15" hidden="1" x14ac:dyDescent="0.25">
      <c r="B589" s="81" t="s">
        <v>273</v>
      </c>
      <c r="C589" s="81"/>
    </row>
    <row r="590" spans="2:3" ht="15" hidden="1" x14ac:dyDescent="0.25">
      <c r="B590" s="81" t="s">
        <v>274</v>
      </c>
      <c r="C590" s="81"/>
    </row>
    <row r="591" spans="2:3" ht="15" hidden="1" x14ac:dyDescent="0.25">
      <c r="B591" s="79" t="s">
        <v>275</v>
      </c>
      <c r="C591" s="79"/>
    </row>
    <row r="592" spans="2:3" ht="15" hidden="1" x14ac:dyDescent="0.25">
      <c r="B592" s="81" t="s">
        <v>276</v>
      </c>
      <c r="C592" s="81"/>
    </row>
    <row r="593" spans="2:3" ht="15" hidden="1" x14ac:dyDescent="0.25">
      <c r="B593" s="81" t="s">
        <v>277</v>
      </c>
      <c r="C593" s="81"/>
    </row>
    <row r="594" spans="2:3" ht="15" hidden="1" x14ac:dyDescent="0.25">
      <c r="B594" s="81" t="s">
        <v>278</v>
      </c>
      <c r="C594" s="81"/>
    </row>
    <row r="595" spans="2:3" ht="15" hidden="1" x14ac:dyDescent="0.25">
      <c r="B595" s="81" t="s">
        <v>279</v>
      </c>
      <c r="C595" s="81"/>
    </row>
    <row r="596" spans="2:3" ht="15" hidden="1" x14ac:dyDescent="0.25">
      <c r="B596" s="81" t="s">
        <v>280</v>
      </c>
      <c r="C596" s="81"/>
    </row>
    <row r="597" spans="2:3" ht="15" hidden="1" x14ac:dyDescent="0.25">
      <c r="B597" s="81" t="s">
        <v>281</v>
      </c>
      <c r="C597" s="81"/>
    </row>
    <row r="598" spans="2:3" ht="15" hidden="1" x14ac:dyDescent="0.25">
      <c r="B598" s="81" t="s">
        <v>282</v>
      </c>
      <c r="C598" s="81"/>
    </row>
    <row r="599" spans="2:3" ht="15" hidden="1" x14ac:dyDescent="0.25">
      <c r="B599" s="81" t="s">
        <v>283</v>
      </c>
      <c r="C599" s="81"/>
    </row>
    <row r="600" spans="2:3" ht="15" hidden="1" x14ac:dyDescent="0.25">
      <c r="B600" s="81" t="s">
        <v>284</v>
      </c>
      <c r="C600" s="81"/>
    </row>
    <row r="601" spans="2:3" ht="15" hidden="1" x14ac:dyDescent="0.25">
      <c r="B601" s="81" t="s">
        <v>285</v>
      </c>
      <c r="C601" s="81"/>
    </row>
    <row r="602" spans="2:3" ht="15" hidden="1" x14ac:dyDescent="0.25">
      <c r="B602" s="81" t="s">
        <v>286</v>
      </c>
      <c r="C602" s="81"/>
    </row>
    <row r="603" spans="2:3" ht="15" hidden="1" x14ac:dyDescent="0.25">
      <c r="B603" s="81" t="s">
        <v>287</v>
      </c>
      <c r="C603" s="81"/>
    </row>
    <row r="604" spans="2:3" ht="15" hidden="1" x14ac:dyDescent="0.25">
      <c r="B604" s="81" t="s">
        <v>288</v>
      </c>
      <c r="C604" s="81"/>
    </row>
    <row r="605" spans="2:3" ht="15" hidden="1" x14ac:dyDescent="0.25"/>
    <row r="606" spans="2:3" ht="15" hidden="1" x14ac:dyDescent="0.25">
      <c r="B606" s="77" t="s">
        <v>293</v>
      </c>
      <c r="C606" s="77"/>
    </row>
    <row r="607" spans="2:3" ht="15" hidden="1" x14ac:dyDescent="0.25">
      <c r="B607" s="82" t="s">
        <v>290</v>
      </c>
      <c r="C607" s="82"/>
    </row>
    <row r="608" spans="2:3" ht="15" hidden="1" x14ac:dyDescent="0.25">
      <c r="B608" s="82" t="s">
        <v>291</v>
      </c>
      <c r="C608" s="82"/>
    </row>
    <row r="609" spans="2:3" ht="15" hidden="1" x14ac:dyDescent="0.25">
      <c r="B609" s="82" t="s">
        <v>292</v>
      </c>
      <c r="C609" s="82"/>
    </row>
    <row r="610" spans="2:3" ht="15" hidden="1" x14ac:dyDescent="0.25"/>
    <row r="611" spans="2:3" ht="15" hidden="1" x14ac:dyDescent="0.25">
      <c r="B611" s="77" t="s">
        <v>296</v>
      </c>
      <c r="C611" s="77"/>
    </row>
    <row r="612" spans="2:3" ht="15" hidden="1" x14ac:dyDescent="0.25">
      <c r="B612" s="78" t="s">
        <v>294</v>
      </c>
      <c r="C612" s="78"/>
    </row>
    <row r="613" spans="2:3" ht="15" hidden="1" x14ac:dyDescent="0.25">
      <c r="B613" s="78" t="s">
        <v>295</v>
      </c>
      <c r="C613" s="78"/>
    </row>
    <row r="614" spans="2:3" ht="15" hidden="1" x14ac:dyDescent="0.25"/>
    <row r="615" spans="2:3" ht="15" hidden="1" x14ac:dyDescent="0.25">
      <c r="B615" s="72" t="s">
        <v>302</v>
      </c>
      <c r="C615" s="72"/>
    </row>
    <row r="616" spans="2:3" ht="15" hidden="1" x14ac:dyDescent="0.25">
      <c r="B616" s="78" t="s">
        <v>297</v>
      </c>
      <c r="C616" s="78"/>
    </row>
    <row r="617" spans="2:3" ht="15" hidden="1" x14ac:dyDescent="0.25">
      <c r="B617" s="78" t="s">
        <v>298</v>
      </c>
      <c r="C617" s="78"/>
    </row>
    <row r="618" spans="2:3" ht="15" hidden="1" x14ac:dyDescent="0.25">
      <c r="B618" s="78" t="s">
        <v>299</v>
      </c>
      <c r="C618" s="78"/>
    </row>
    <row r="619" spans="2:3" ht="15" hidden="1" x14ac:dyDescent="0.25">
      <c r="B619" s="78" t="s">
        <v>300</v>
      </c>
      <c r="C619" s="78"/>
    </row>
    <row r="620" spans="2:3" ht="15" hidden="1" x14ac:dyDescent="0.25">
      <c r="B620" s="78" t="s">
        <v>301</v>
      </c>
      <c r="C620" s="78"/>
    </row>
    <row r="621" spans="2:3" ht="15" hidden="1" x14ac:dyDescent="0.25"/>
    <row r="622" spans="2:3" ht="15" hidden="1" x14ac:dyDescent="0.25">
      <c r="B622" s="77" t="s">
        <v>315</v>
      </c>
      <c r="C622" s="77"/>
    </row>
    <row r="623" spans="2:3" ht="15" hidden="1" x14ac:dyDescent="0.25">
      <c r="B623" s="83" t="s">
        <v>303</v>
      </c>
      <c r="C623" s="83"/>
    </row>
    <row r="624" spans="2:3" ht="15" hidden="1" x14ac:dyDescent="0.25">
      <c r="B624" s="84" t="s">
        <v>371</v>
      </c>
      <c r="C624" s="83"/>
    </row>
    <row r="625" spans="2:3" ht="15" hidden="1" x14ac:dyDescent="0.25">
      <c r="B625" s="84" t="s">
        <v>372</v>
      </c>
      <c r="C625" s="83"/>
    </row>
    <row r="626" spans="2:3" ht="15" hidden="1" x14ac:dyDescent="0.25">
      <c r="B626" s="84" t="s">
        <v>373</v>
      </c>
      <c r="C626" s="83"/>
    </row>
    <row r="627" spans="2:3" ht="15" hidden="1" x14ac:dyDescent="0.25">
      <c r="B627" s="83" t="s">
        <v>304</v>
      </c>
      <c r="C627" s="83"/>
    </row>
    <row r="628" spans="2:3" ht="15" hidden="1" x14ac:dyDescent="0.25">
      <c r="B628" s="83" t="s">
        <v>305</v>
      </c>
      <c r="C628" s="83"/>
    </row>
    <row r="629" spans="2:3" ht="15" hidden="1" x14ac:dyDescent="0.25">
      <c r="B629" s="83" t="s">
        <v>306</v>
      </c>
      <c r="C629" s="83"/>
    </row>
    <row r="630" spans="2:3" ht="15" hidden="1" x14ac:dyDescent="0.25">
      <c r="B630" s="83" t="s">
        <v>307</v>
      </c>
      <c r="C630" s="83"/>
    </row>
    <row r="631" spans="2:3" ht="15" hidden="1" x14ac:dyDescent="0.25">
      <c r="B631" s="83" t="s">
        <v>308</v>
      </c>
      <c r="C631" s="83"/>
    </row>
    <row r="632" spans="2:3" ht="15" hidden="1" x14ac:dyDescent="0.25">
      <c r="B632" s="83" t="s">
        <v>309</v>
      </c>
      <c r="C632" s="83"/>
    </row>
    <row r="633" spans="2:3" ht="15" hidden="1" x14ac:dyDescent="0.25">
      <c r="B633" s="83" t="s">
        <v>318</v>
      </c>
      <c r="C633" s="83"/>
    </row>
    <row r="634" spans="2:3" ht="15" hidden="1" x14ac:dyDescent="0.25">
      <c r="B634" s="83" t="s">
        <v>317</v>
      </c>
      <c r="C634" s="83"/>
    </row>
    <row r="635" spans="2:3" ht="15" hidden="1" x14ac:dyDescent="0.25">
      <c r="B635" s="83" t="s">
        <v>316</v>
      </c>
      <c r="C635" s="83"/>
    </row>
    <row r="636" spans="2:3" ht="15" hidden="1" x14ac:dyDescent="0.25">
      <c r="B636" s="83" t="s">
        <v>319</v>
      </c>
      <c r="C636" s="83"/>
    </row>
    <row r="637" spans="2:3" ht="15" hidden="1" x14ac:dyDescent="0.25">
      <c r="B637" s="83" t="s">
        <v>310</v>
      </c>
      <c r="C637" s="83"/>
    </row>
    <row r="638" spans="2:3" ht="15" hidden="1" x14ac:dyDescent="0.25">
      <c r="B638" s="83" t="s">
        <v>311</v>
      </c>
      <c r="C638" s="83"/>
    </row>
    <row r="639" spans="2:3" ht="15" hidden="1" x14ac:dyDescent="0.25">
      <c r="B639" s="83" t="s">
        <v>312</v>
      </c>
      <c r="C639" s="83"/>
    </row>
    <row r="640" spans="2:3" ht="15" hidden="1" x14ac:dyDescent="0.25">
      <c r="B640" s="83" t="s">
        <v>313</v>
      </c>
      <c r="C640" s="83"/>
    </row>
    <row r="641" spans="2:3" ht="15" hidden="1" x14ac:dyDescent="0.25">
      <c r="B641" s="83" t="s">
        <v>314</v>
      </c>
      <c r="C641" s="83"/>
    </row>
    <row r="642" spans="2:3" ht="15" hidden="1" x14ac:dyDescent="0.25"/>
    <row r="643" spans="2:3" ht="15" hidden="1" x14ac:dyDescent="0.25">
      <c r="B643" s="85" t="s">
        <v>321</v>
      </c>
      <c r="C643" s="85"/>
    </row>
    <row r="644" spans="2:3" ht="15" hidden="1" x14ac:dyDescent="0.25"/>
    <row r="645" spans="2:3" ht="15" hidden="1" x14ac:dyDescent="0.25">
      <c r="B645" s="86" t="s">
        <v>322</v>
      </c>
      <c r="C645" s="86"/>
    </row>
    <row r="646" spans="2:3" ht="15" hidden="1" x14ac:dyDescent="0.25">
      <c r="B646" s="6" t="s">
        <v>323</v>
      </c>
    </row>
    <row r="647" spans="2:3" ht="15" hidden="1" x14ac:dyDescent="0.25">
      <c r="B647" s="6" t="s">
        <v>324</v>
      </c>
    </row>
    <row r="648" spans="2:3" ht="15" hidden="1" x14ac:dyDescent="0.25">
      <c r="B648" s="6" t="s">
        <v>325</v>
      </c>
    </row>
    <row r="649" spans="2:3" ht="15" hidden="1" x14ac:dyDescent="0.25"/>
    <row r="650" spans="2:3" ht="15" hidden="1" x14ac:dyDescent="0.25"/>
  </sheetData>
  <sheetProtection selectLockedCells="1"/>
  <mergeCells count="16">
    <mergeCell ref="D13:F13"/>
    <mergeCell ref="F2:G2"/>
    <mergeCell ref="D4:H4"/>
    <mergeCell ref="D7:H7"/>
    <mergeCell ref="D9:F9"/>
    <mergeCell ref="D11:F11"/>
    <mergeCell ref="D384:H384"/>
    <mergeCell ref="D386:H386"/>
    <mergeCell ref="D388:H388"/>
    <mergeCell ref="D392:H392"/>
    <mergeCell ref="D15:F15"/>
    <mergeCell ref="D31:F31"/>
    <mergeCell ref="D352:H352"/>
    <mergeCell ref="D353:H353"/>
    <mergeCell ref="D370:H370"/>
    <mergeCell ref="D371:H371"/>
  </mergeCells>
  <conditionalFormatting sqref="D388">
    <cfRule type="expression" dxfId="19" priority="7">
      <formula>LEN(D388)&gt;500</formula>
    </cfRule>
  </conditionalFormatting>
  <conditionalFormatting sqref="D390:E390">
    <cfRule type="expression" dxfId="18" priority="6">
      <formula>LEN(D390)&gt;500</formula>
    </cfRule>
  </conditionalFormatting>
  <conditionalFormatting sqref="D392">
    <cfRule type="expression" dxfId="17" priority="5">
      <formula>LEN(D392)&gt;500</formula>
    </cfRule>
  </conditionalFormatting>
  <conditionalFormatting sqref="D386">
    <cfRule type="expression" dxfId="16" priority="4">
      <formula>LEN(D386)&gt;500</formula>
    </cfRule>
  </conditionalFormatting>
  <conditionalFormatting sqref="D4">
    <cfRule type="expression" dxfId="15" priority="3">
      <formula>LEN(D4)&gt;10000</formula>
    </cfRule>
  </conditionalFormatting>
  <conditionalFormatting sqref="D7">
    <cfRule type="expression" dxfId="14" priority="2">
      <formula>LEN(D7)&gt;10000</formula>
    </cfRule>
  </conditionalFormatting>
  <conditionalFormatting sqref="D31">
    <cfRule type="expression" dxfId="13" priority="1">
      <formula>LEN(D31)&gt;10000</formula>
    </cfRule>
  </conditionalFormatting>
  <dataValidations count="20">
    <dataValidation type="list" allowBlank="1" showInputMessage="1" showErrorMessage="1" sqref="C164 C200">
      <formula1>Checkbox</formula1>
    </dataValidation>
    <dataValidation allowBlank="1" showInputMessage="1" showErrorMessage="1" promptTitle="Suggested Index Title" prompt="Use this section if your standard does not fit in the existing index and you want to define a new heading for your standard.  Select an existing index heading above to indicate where your new heading should be inserted below." sqref="D11:F11"/>
    <dataValidation type="list" allowBlank="1" showInputMessage="1" showErrorMessage="1" sqref="C344 C348 C350 E348 E350 G348 C35 C166 C170 C168 C150 C152 C39 C41 C45 C43 C47 C49 C51 E39 E41 E45 E43 E47 E49 C90 C64 C66 C68 C70 C72 C74 C76 C78 C80 C82 C84 C86 E64 E66 E68 E70 E72 E74 E76 E78 E80 E82 E84 E86 G64 G66 G68 G70 G72 G74 G76 G78 G80 G82 G84 G86 C56 C60 C94 C96 C98 C100 C102 C104 C106 C108 E94 E96 E98 E100 E102 E104 E106 E108 G94 G96 G98 G100 G102 G104 G106 G108 C112 C116 C118 C120 C122 C124 C126 C128 C130 C132 C134 C136 C138 E116 E118 E120 E122 E124 E126 E128 E130 E132 E134 E136 E138 G116 G118 G120 G122 G124 G126 G128 G130 G132 G134 G136 G138 C142 C146 C148 C176 C180 C182 C184 C186 C188 C190 C192 E180 E182 E184 E186 E188 E190 E192 G180 G182 G184 G186 G188 G190 G192 C194 C196 E194 E196 G194 C202 C206 C204 C208 C214 C218 C220 C222 C224 C226 C228 E218 E220 E222 E224 E226 E228 G218 G220 G222 G224 G226 C234 C238 C240 C242 C244 C246 E238 E240 E242 E244 E246 G238 G240 G242 G244 G246 C248 C250 C252 C254 C256 E248 E250 E252 E254 E256 G248 G250 G252 G254 G256 C258 C260 C262 C264 C266 E258 E260 E262 E264 E266 G258 G260 G262 G264 G266 C268 C270 C272 C274 E268 E270 E272 E274 G268 G270 G272 C280 C284 E284 C290 C294 C296 C298 C300 C302 E294 E296 E298 E300 E302 G294 G296 G298 G300 G302 C306 C308 C310 C312 E306 E308 E310 E312 G306 G308 G310 G312 C314 C316 C318 E314 E316 E318 G314 C324 C328 E328 G328 C334 C338 E338 C29 C27 C25 C23 C19 C21">
      <formula1>Checkbox</formula1>
    </dataValidation>
    <dataValidation allowBlank="1" showInputMessage="1" showErrorMessage="1" promptTitle="New Index Description" prompt="Use this input box if you want to suggest amendments to an existing title or if you have suggested a new title and need to provide an introductory description." sqref="D15"/>
    <dataValidation allowBlank="1" showInputMessage="1" showErrorMessage="1" promptTitle="Measure" prompt="Enter details here about how you would measure this standard in the business to ensure a hotel is compliant." sqref="D386"/>
    <dataValidation allowBlank="1" showInputMessage="1" showErrorMessage="1" promptTitle="Rational" prompt="Descriptive justification for the standard. May include summary of test results and ROI calculation.  Will be used as part of communications to implement the change." sqref="D7"/>
    <dataValidation allowBlank="1" showInputMessage="1" showErrorMessage="1" promptTitle="Impact Assessment" prompt="Field to describe the implication of implementing the proposed change on  Hotels and IHG.   Should include consideration of financial impact on hotels and may  incorporate owner feedback." sqref="D392"/>
    <dataValidation type="list" allowBlank="1" showInputMessage="1" showErrorMessage="1" promptTitle="New / Existing / Delete" prompt="Use this field to denote if this is a new standard, a change to an existing stanadard or a proposal to remove an existing standard._x000a_" sqref="D390">
      <formula1>EM_New_Amend_Delete</formula1>
    </dataValidation>
    <dataValidation allowBlank="1" showInputMessage="1" showErrorMessage="1" promptTitle="Comments" prompt="Please use this field to capture any information that you have not been able to store elsewhere_x000a_" sqref="D388"/>
    <dataValidation type="list" allowBlank="1" showInputMessage="1" showErrorMessage="1" promptTitle="Brand Hallmark" prompt="The most relevant and differentiated element of the branded guest experience that provides competitive advantage relative to competition. Brand Hallmarks are global standards and are included in the Brand Framework" sqref="D160">
      <formula1>Checkbox</formula1>
    </dataValidation>
    <dataValidation allowBlank="1" showInputMessage="1" showErrorMessage="1" promptTitle="Compliance Deadline" prompt="The Compliance Deadline is the date from which all applicable hotels will be required to comply with the standard" sqref="D158"/>
    <dataValidation allowBlank="1" showInputMessage="1" showErrorMessage="1" promptTitle="Launch Date" prompt="The launch date is when the standard is formally published and becomes visible to hotels, having been through the approval process." sqref="D156"/>
    <dataValidation allowBlank="1" showInputMessage="1" showErrorMessage="1" promptTitle="Standard Owner" prompt="The individual who has ultimate responsibility for a standard: its testing; implementation; roll out and any subsequent revisions " sqref="D154"/>
    <dataValidation allowBlank="1" showInputMessage="1" showErrorMessage="1" promptTitle="Technical Writer" prompt="Standard writing expert who liaises with relevant Business Owner with responsiblity for drafting, editing and formatting standardsin line with the agreed writing principles." sqref="D31"/>
    <dataValidation type="list" allowBlank="1" showInputMessage="1" showErrorMessage="1" sqref="D364 D356 F356 H356 F364 H364">
      <formula1>EM_IHG_Supporting_Link_Types</formula1>
    </dataValidation>
    <dataValidation allowBlank="1" showErrorMessage="1" promptTitle="Guest Journey" prompt="A set of stages tracking the guest experience before, during, and after their stay in a hotel. Guest Journey stages may include “Check in”, “My room”, and “Departure”." sqref="D210:E210"/>
    <dataValidation allowBlank="1" showInputMessage="1" showErrorMessage="1" promptTitle="Department Applicability" prompt="The hotel department(s) to which this standard will apply" sqref="E172"/>
    <dataValidation allowBlank="1" showErrorMessage="1" sqref="F35 F55:F58 E50:F52 F60:F62 F87:F88 F90:F92 F109:F110 F112:F114 F139:F140 F142:F144 F173:F174 F176:F178 D172 F211:F212 F214:F216 F231:F232 F234:F236 F277:F278 F280:F282 F287:F288 F290:F292 F321:F322 F324:F326 F331:F332 F334:F336 F341:F342 F344:F346 E387 E389:E391 F394 F396:F398"/>
    <dataValidation allowBlank="1" showInputMessage="1" showErrorMessage="1" promptTitle="Index Description" prompt="This field displays the descriptive text associated with your index title" sqref="D13"/>
    <dataValidation allowBlank="1" showInputMessage="1" showErrorMessage="1" promptTitle="Index Title" prompt="Select the heading in the index under which this standard should reside" sqref="D9"/>
  </dataValidations>
  <hyperlinks>
    <hyperlink ref="D376" r:id="rId1" display="http://www."/>
    <hyperlink ref="D382" r:id="rId2" display="http://www."/>
    <hyperlink ref="F376" r:id="rId3" display="http://www."/>
    <hyperlink ref="H376" r:id="rId4" display="http://www."/>
    <hyperlink ref="H382" r:id="rId5" display="http://www."/>
    <hyperlink ref="F382" r:id="rId6" display="http://www."/>
  </hyperlinks>
  <pageMargins left="0.23622047244094491" right="0.23622047244094491" top="0.74803149606299213" bottom="0.74803149606299213" header="0.31496062992125984" footer="0.31496062992125984"/>
  <pageSetup paperSize="9" scale="96" fitToHeight="0" orientation="landscape" horizontalDpi="1200" verticalDpi="1200" r:id="rId7"/>
  <headerFooter>
    <oddFooter>&amp;RPage &amp;P of &amp;N</oddFooter>
  </headerFooter>
  <rowBreaks count="5" manualBreakCount="5">
    <brk id="16" max="16383" man="1"/>
    <brk id="53" max="16383" man="1"/>
    <brk id="87" max="16383" man="1"/>
    <brk id="139" max="16383" man="1"/>
    <brk id="171" max="16383" man="1"/>
  </rowBreaks>
  <ignoredErrors>
    <ignoredError sqref="C19 C21:C29" unlockedFormula="1"/>
  </ignoredErrors>
  <drawing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N706"/>
  <sheetViews>
    <sheetView showGridLines="0" workbookViewId="0">
      <pane ySplit="5" topLeftCell="A6" activePane="bottomLeft" state="frozen"/>
      <selection pane="bottomLeft" activeCell="B7" sqref="B7"/>
    </sheetView>
  </sheetViews>
  <sheetFormatPr defaultColWidth="8.88671875" defaultRowHeight="14.4" x14ac:dyDescent="0.3"/>
  <cols>
    <col min="1" max="1" width="4.6640625" style="6" customWidth="1"/>
    <col min="2" max="2" width="24.33203125" style="99" customWidth="1"/>
    <col min="3" max="3" width="4.6640625" style="6" customWidth="1"/>
    <col min="4" max="4" width="35.6640625" style="6" customWidth="1"/>
    <col min="5" max="5" width="4.6640625" style="6" customWidth="1"/>
    <col min="6" max="6" width="35.6640625" style="6" customWidth="1"/>
    <col min="7" max="7" width="4.6640625" style="6" customWidth="1"/>
    <col min="8" max="8" width="35.6640625" style="6" customWidth="1"/>
    <col min="9" max="9" width="8.88671875" style="6" customWidth="1"/>
    <col min="10" max="10" width="35.6640625" style="6" hidden="1" customWidth="1"/>
    <col min="11" max="13" width="8.88671875" style="6" hidden="1" customWidth="1"/>
    <col min="14" max="16384" width="8.88671875" style="6"/>
  </cols>
  <sheetData>
    <row r="1" spans="1:14" ht="6" customHeight="1" thickBot="1" x14ac:dyDescent="0.3">
      <c r="M1" s="6">
        <f>COUNTIF(M2:M391,"STOP")</f>
        <v>9</v>
      </c>
    </row>
    <row r="2" spans="1:14" ht="31.95" customHeight="1" thickTop="1" thickBot="1" x14ac:dyDescent="0.4">
      <c r="A2" s="134" t="s">
        <v>388</v>
      </c>
      <c r="D2" s="7"/>
      <c r="E2" s="7"/>
      <c r="F2" s="194"/>
      <c r="G2" s="194"/>
      <c r="H2" s="87" t="s">
        <v>391</v>
      </c>
      <c r="J2" s="146" t="str">
        <f>IF(ISBLANK(H2),"STOP","")</f>
        <v/>
      </c>
      <c r="M2" s="6" t="str">
        <f>J2</f>
        <v/>
      </c>
    </row>
    <row r="3" spans="1:14" ht="7.2" customHeight="1" thickTop="1" x14ac:dyDescent="0.25"/>
    <row r="4" spans="1:14" ht="15" hidden="1" x14ac:dyDescent="0.25">
      <c r="B4" s="97" t="s">
        <v>381</v>
      </c>
      <c r="C4" s="8"/>
      <c r="D4" s="187"/>
      <c r="E4" s="188"/>
      <c r="F4" s="188"/>
      <c r="G4" s="188"/>
      <c r="H4" s="189"/>
      <c r="I4" s="9" t="str">
        <f>CONCATENATE(LEN(D4)," of 500 characters")</f>
        <v>0 of 500 characters</v>
      </c>
      <c r="K4" s="10"/>
      <c r="L4" s="10"/>
      <c r="N4" s="10"/>
    </row>
    <row r="5" spans="1:14" ht="15.6" customHeight="1" x14ac:dyDescent="0.25">
      <c r="B5" s="98"/>
      <c r="C5" s="11"/>
      <c r="D5" s="147" t="str">
        <f>IF(M1=0,"",CONCATENATE("Note: ",M1," of 15 required fields remaining"))</f>
        <v>Note: 9 of 15 required fields remaining</v>
      </c>
    </row>
    <row r="6" spans="1:14" ht="15" x14ac:dyDescent="0.25">
      <c r="B6" s="98"/>
      <c r="C6" s="11"/>
    </row>
    <row r="7" spans="1:14" ht="194.4" customHeight="1" x14ac:dyDescent="0.25">
      <c r="B7" s="97" t="s">
        <v>389</v>
      </c>
      <c r="C7" s="8"/>
      <c r="D7" s="195"/>
      <c r="E7" s="196"/>
      <c r="F7" s="196"/>
      <c r="G7" s="196"/>
      <c r="H7" s="197"/>
      <c r="I7" s="9" t="str">
        <f>CONCATENATE(LEN(D7)," of 10,000 characters")</f>
        <v>0 of 10,000 characters</v>
      </c>
      <c r="J7" s="146" t="str">
        <f>IF(ISBLANK(D7),"STOP","")</f>
        <v>STOP</v>
      </c>
      <c r="M7" s="6" t="str">
        <f>J7</f>
        <v>STOP</v>
      </c>
    </row>
    <row r="9" spans="1:14" ht="16.5" hidden="1" thickTop="1" thickBot="1" x14ac:dyDescent="0.3">
      <c r="B9" s="97" t="s">
        <v>1</v>
      </c>
      <c r="C9" s="8"/>
      <c r="D9" s="191"/>
      <c r="E9" s="192"/>
      <c r="F9" s="193"/>
      <c r="J9" s="146"/>
    </row>
    <row r="10" spans="1:14" ht="15" hidden="1" x14ac:dyDescent="0.25">
      <c r="I10" s="12"/>
    </row>
    <row r="11" spans="1:14" ht="15" hidden="1" x14ac:dyDescent="0.25">
      <c r="B11" s="97" t="s">
        <v>342</v>
      </c>
      <c r="C11" s="13"/>
      <c r="D11" s="185"/>
      <c r="E11" s="186"/>
      <c r="F11" s="186"/>
    </row>
    <row r="12" spans="1:14" ht="15" hidden="1" x14ac:dyDescent="0.25"/>
    <row r="13" spans="1:14" ht="49.95" hidden="1" customHeight="1" thickTop="1" thickBot="1" x14ac:dyDescent="0.3">
      <c r="B13" s="97" t="s">
        <v>2</v>
      </c>
      <c r="C13" s="8"/>
      <c r="D13" s="191"/>
      <c r="E13" s="192"/>
      <c r="F13" s="193"/>
    </row>
    <row r="14" spans="1:14" ht="15" hidden="1" x14ac:dyDescent="0.25"/>
    <row r="15" spans="1:14" ht="49.95" hidden="1" customHeight="1" x14ac:dyDescent="0.25">
      <c r="B15" s="97" t="s">
        <v>343</v>
      </c>
      <c r="C15" s="13"/>
      <c r="D15" s="185"/>
      <c r="E15" s="186"/>
      <c r="F15" s="186"/>
      <c r="J15" s="16" t="s">
        <v>354</v>
      </c>
    </row>
    <row r="17" spans="2:13" s="16" customFormat="1" ht="25.2" customHeight="1" x14ac:dyDescent="0.25">
      <c r="B17" s="100" t="s">
        <v>3</v>
      </c>
      <c r="C17" s="14"/>
      <c r="D17" s="15" t="s">
        <v>384</v>
      </c>
      <c r="E17" s="15"/>
      <c r="J17" s="145" t="str">
        <f>IF(COUNTIF(J19:J29,"GO")&gt;0,IF(COUNTIF(J19:J29,"GO")&gt;1,"STOP",""),"STOP")</f>
        <v>STOP</v>
      </c>
      <c r="M17" s="16" t="str">
        <f>J17</f>
        <v>STOP</v>
      </c>
    </row>
    <row r="18" spans="2:13" ht="4.95" customHeight="1" x14ac:dyDescent="0.25"/>
    <row r="19" spans="2:13" ht="15" x14ac:dyDescent="0.25">
      <c r="C19" s="136" t="e">
        <f>#REF!</f>
        <v>#REF!</v>
      </c>
      <c r="D19" s="17" t="s">
        <v>142</v>
      </c>
      <c r="E19" s="17"/>
      <c r="J19" s="6" t="str">
        <f>IF(ISERR(FIND($J$15,C19,1)),"STOP","GO")</f>
        <v>STOP</v>
      </c>
    </row>
    <row r="20" spans="2:13" ht="4.95" customHeight="1" x14ac:dyDescent="0.25">
      <c r="C20" s="116"/>
      <c r="D20" s="17"/>
      <c r="E20" s="17"/>
    </row>
    <row r="21" spans="2:13" ht="15" x14ac:dyDescent="0.25">
      <c r="C21" s="136" t="e">
        <f>#REF!</f>
        <v>#REF!</v>
      </c>
      <c r="D21" s="17" t="s">
        <v>143</v>
      </c>
      <c r="E21" s="17"/>
      <c r="J21" s="6" t="str">
        <f>IF(ISERR(FIND($J$15,C21,1)),"STOP","GO")</f>
        <v>STOP</v>
      </c>
    </row>
    <row r="22" spans="2:13" ht="4.95" customHeight="1" x14ac:dyDescent="0.25">
      <c r="C22" s="116"/>
      <c r="D22" s="17"/>
      <c r="E22" s="17"/>
    </row>
    <row r="23" spans="2:13" ht="15" x14ac:dyDescent="0.25">
      <c r="C23" s="136" t="e">
        <f>#REF!</f>
        <v>#REF!</v>
      </c>
      <c r="D23" s="17" t="s">
        <v>144</v>
      </c>
      <c r="E23" s="17"/>
      <c r="J23" s="6" t="str">
        <f>IF(ISERR(FIND($J$15,C23,1)),"STOP","GO")</f>
        <v>STOP</v>
      </c>
    </row>
    <row r="24" spans="2:13" ht="4.95" customHeight="1" x14ac:dyDescent="0.25">
      <c r="C24" s="116"/>
      <c r="D24" s="17"/>
      <c r="E24" s="17"/>
    </row>
    <row r="25" spans="2:13" ht="15" x14ac:dyDescent="0.25">
      <c r="C25" s="136" t="e">
        <f>#REF!</f>
        <v>#REF!</v>
      </c>
      <c r="D25" s="17" t="s">
        <v>145</v>
      </c>
      <c r="E25" s="17"/>
      <c r="J25" s="6" t="str">
        <f>IF(ISERR(FIND($J$15,C25,1)),"STOP","GO")</f>
        <v>STOP</v>
      </c>
    </row>
    <row r="26" spans="2:13" ht="4.95" customHeight="1" x14ac:dyDescent="0.25">
      <c r="C26" s="116"/>
      <c r="D26" s="17"/>
      <c r="E26" s="17"/>
    </row>
    <row r="27" spans="2:13" ht="15" x14ac:dyDescent="0.25">
      <c r="C27" s="136" t="e">
        <f>#REF!</f>
        <v>#REF!</v>
      </c>
      <c r="D27" s="17" t="s">
        <v>146</v>
      </c>
      <c r="E27" s="17"/>
      <c r="J27" s="6" t="str">
        <f>IF(ISERR(FIND($J$15,C27,1)),"STOP","GO")</f>
        <v>STOP</v>
      </c>
    </row>
    <row r="28" spans="2:13" ht="4.95" customHeight="1" x14ac:dyDescent="0.25">
      <c r="C28" s="116"/>
      <c r="D28" s="17"/>
      <c r="E28" s="17"/>
    </row>
    <row r="29" spans="2:13" ht="15" x14ac:dyDescent="0.25">
      <c r="C29" s="136" t="e">
        <f>#REF!</f>
        <v>#REF!</v>
      </c>
      <c r="D29" s="17" t="s">
        <v>147</v>
      </c>
      <c r="E29" s="17"/>
      <c r="J29" s="6" t="str">
        <f>IF(ISERR(FIND($J$15,C29,1)),"STOP","GO")</f>
        <v>STOP</v>
      </c>
    </row>
    <row r="31" spans="2:13" ht="15" x14ac:dyDescent="0.25">
      <c r="B31" s="97" t="s">
        <v>4</v>
      </c>
      <c r="C31" s="8"/>
      <c r="D31" s="195" t="e">
        <f>IF(ISBLANK(#REF!),"",#REF!)</f>
        <v>#REF!</v>
      </c>
      <c r="E31" s="196"/>
      <c r="F31" s="197"/>
      <c r="J31" s="146" t="str">
        <f>IF(ISBLANK(D31),"STOP","")</f>
        <v/>
      </c>
      <c r="M31" s="6" t="str">
        <f>J31</f>
        <v/>
      </c>
    </row>
    <row r="33" spans="2:13" ht="15" x14ac:dyDescent="0.25">
      <c r="B33" s="97" t="s">
        <v>5</v>
      </c>
      <c r="C33" s="8"/>
      <c r="D33" s="15" t="s">
        <v>382</v>
      </c>
    </row>
    <row r="34" spans="2:13" ht="4.95" customHeight="1" x14ac:dyDescent="0.25">
      <c r="B34" s="97"/>
      <c r="C34" s="8"/>
    </row>
    <row r="35" spans="2:13" s="18" customFormat="1" ht="15" customHeight="1" x14ac:dyDescent="0.25">
      <c r="B35" s="101"/>
      <c r="C35" s="142" t="e">
        <f>#REF!</f>
        <v>#REF!</v>
      </c>
      <c r="D35" s="19" t="s">
        <v>360</v>
      </c>
      <c r="E35" s="20"/>
      <c r="F35" s="21"/>
      <c r="J35" s="145" t="str">
        <f>IF(COUNTIF(J39:K51,"GO")&gt;0,"","STOP")</f>
        <v>STOP</v>
      </c>
      <c r="M35" s="18" t="str">
        <f>J35</f>
        <v>STOP</v>
      </c>
    </row>
    <row r="36" spans="2:13" s="18" customFormat="1" ht="4.95" customHeight="1" x14ac:dyDescent="0.3">
      <c r="B36" s="101"/>
      <c r="D36" s="22"/>
      <c r="E36" s="23"/>
      <c r="F36" s="24"/>
    </row>
    <row r="37" spans="2:13" s="18" customFormat="1" ht="4.95" customHeight="1" x14ac:dyDescent="0.3">
      <c r="B37" s="101"/>
      <c r="C37" s="143"/>
      <c r="D37" s="143"/>
      <c r="E37" s="143"/>
      <c r="F37" s="143"/>
    </row>
    <row r="38" spans="2:13" s="18" customFormat="1" ht="4.95" customHeight="1" x14ac:dyDescent="0.3">
      <c r="B38" s="101"/>
      <c r="D38" s="22"/>
      <c r="E38" s="23"/>
      <c r="F38" s="24"/>
    </row>
    <row r="39" spans="2:13" ht="15" customHeight="1" x14ac:dyDescent="0.3">
      <c r="C39" s="136" t="e">
        <f>#REF!</f>
        <v>#REF!</v>
      </c>
      <c r="D39" s="26" t="s">
        <v>6</v>
      </c>
      <c r="E39" s="136" t="e">
        <f>#REF!</f>
        <v>#REF!</v>
      </c>
      <c r="F39" s="26" t="s">
        <v>13</v>
      </c>
      <c r="J39" s="6" t="str">
        <f>IF(ISERR(FIND($J$15,C39,1)),"STOP","GO")</f>
        <v>STOP</v>
      </c>
      <c r="K39" s="6" t="str">
        <f>IF(ISERR(FIND($J$15,E39,1)),"STOP","GO")</f>
        <v>STOP</v>
      </c>
    </row>
    <row r="40" spans="2:13" ht="4.95" customHeight="1" x14ac:dyDescent="0.3">
      <c r="D40" s="27"/>
      <c r="F40" s="26"/>
    </row>
    <row r="41" spans="2:13" ht="15" customHeight="1" x14ac:dyDescent="0.3">
      <c r="C41" s="136" t="e">
        <f>#REF!</f>
        <v>#REF!</v>
      </c>
      <c r="D41" s="26" t="s">
        <v>7</v>
      </c>
      <c r="E41" s="136" t="e">
        <f>#REF!</f>
        <v>#REF!</v>
      </c>
      <c r="F41" s="26" t="s">
        <v>341</v>
      </c>
      <c r="J41" s="6" t="str">
        <f t="shared" ref="J41:J49" si="0">IF(ISERR(FIND($J$15,C41,1)),"STOP","GO")</f>
        <v>STOP</v>
      </c>
      <c r="K41" s="6" t="str">
        <f t="shared" ref="K41:K49" si="1">IF(ISERR(FIND($J$15,E41,1)),"STOP","GO")</f>
        <v>STOP</v>
      </c>
    </row>
    <row r="42" spans="2:13" ht="4.95" customHeight="1" x14ac:dyDescent="0.3">
      <c r="D42" s="26"/>
      <c r="F42" s="26"/>
    </row>
    <row r="43" spans="2:13" ht="15" customHeight="1" x14ac:dyDescent="0.3">
      <c r="C43" s="136" t="e">
        <f>#REF!</f>
        <v>#REF!</v>
      </c>
      <c r="D43" s="26" t="s">
        <v>8</v>
      </c>
      <c r="E43" s="136" t="e">
        <f>#REF!</f>
        <v>#REF!</v>
      </c>
      <c r="F43" s="26" t="s">
        <v>14</v>
      </c>
      <c r="J43" s="6" t="str">
        <f t="shared" si="0"/>
        <v>STOP</v>
      </c>
      <c r="K43" s="6" t="str">
        <f t="shared" si="1"/>
        <v>STOP</v>
      </c>
    </row>
    <row r="44" spans="2:13" ht="4.95" customHeight="1" x14ac:dyDescent="0.3">
      <c r="D44" s="26"/>
      <c r="F44" s="26"/>
    </row>
    <row r="45" spans="2:13" ht="15" customHeight="1" x14ac:dyDescent="0.3">
      <c r="C45" s="136" t="e">
        <f>#REF!</f>
        <v>#REF!</v>
      </c>
      <c r="D45" s="26" t="s">
        <v>9</v>
      </c>
      <c r="E45" s="136" t="e">
        <f>#REF!</f>
        <v>#REF!</v>
      </c>
      <c r="F45" s="26" t="s">
        <v>15</v>
      </c>
      <c r="J45" s="6" t="str">
        <f t="shared" si="0"/>
        <v>STOP</v>
      </c>
      <c r="K45" s="6" t="str">
        <f t="shared" si="1"/>
        <v>STOP</v>
      </c>
    </row>
    <row r="46" spans="2:13" ht="4.95" customHeight="1" x14ac:dyDescent="0.3">
      <c r="D46" s="26"/>
      <c r="F46" s="26"/>
    </row>
    <row r="47" spans="2:13" ht="15" customHeight="1" x14ac:dyDescent="0.3">
      <c r="C47" s="136" t="e">
        <f>#REF!</f>
        <v>#REF!</v>
      </c>
      <c r="D47" s="26" t="s">
        <v>10</v>
      </c>
      <c r="E47" s="136" t="e">
        <f>#REF!</f>
        <v>#REF!</v>
      </c>
      <c r="F47" s="26" t="s">
        <v>16</v>
      </c>
      <c r="J47" s="6" t="str">
        <f t="shared" si="0"/>
        <v>STOP</v>
      </c>
      <c r="K47" s="6" t="str">
        <f t="shared" si="1"/>
        <v>STOP</v>
      </c>
    </row>
    <row r="48" spans="2:13" ht="4.95" customHeight="1" x14ac:dyDescent="0.3">
      <c r="D48" s="26"/>
      <c r="F48" s="26"/>
    </row>
    <row r="49" spans="2:13" ht="15" customHeight="1" x14ac:dyDescent="0.3">
      <c r="C49" s="136" t="e">
        <f>#REF!</f>
        <v>#REF!</v>
      </c>
      <c r="D49" s="26" t="s">
        <v>11</v>
      </c>
      <c r="E49" s="136" t="e">
        <f>#REF!</f>
        <v>#REF!</v>
      </c>
      <c r="F49" s="26" t="s">
        <v>17</v>
      </c>
      <c r="J49" s="6" t="str">
        <f t="shared" si="0"/>
        <v>STOP</v>
      </c>
      <c r="K49" s="6" t="str">
        <f t="shared" si="1"/>
        <v>STOP</v>
      </c>
    </row>
    <row r="50" spans="2:13" ht="4.95" customHeight="1" x14ac:dyDescent="0.3">
      <c r="C50" s="28"/>
      <c r="D50" s="26"/>
      <c r="E50" s="29"/>
      <c r="F50" s="30"/>
    </row>
    <row r="51" spans="2:13" ht="15" customHeight="1" x14ac:dyDescent="0.3">
      <c r="C51" s="136" t="e">
        <f>#REF!</f>
        <v>#REF!</v>
      </c>
      <c r="D51" s="26" t="s">
        <v>12</v>
      </c>
      <c r="E51" s="30"/>
      <c r="F51" s="30"/>
      <c r="J51" s="6" t="str">
        <f>IF(ISERR(FIND($J$15,C51,1)),"STOP","GO")</f>
        <v>STOP</v>
      </c>
    </row>
    <row r="52" spans="2:13" ht="4.95" customHeight="1" x14ac:dyDescent="0.3">
      <c r="D52" s="31"/>
      <c r="E52" s="12"/>
      <c r="F52" s="30"/>
    </row>
    <row r="53" spans="2:13" x14ac:dyDescent="0.3">
      <c r="F53" s="32"/>
    </row>
    <row r="54" spans="2:13" x14ac:dyDescent="0.3">
      <c r="B54" s="97" t="s">
        <v>18</v>
      </c>
      <c r="C54" s="8"/>
      <c r="F54" s="32"/>
    </row>
    <row r="55" spans="2:13" x14ac:dyDescent="0.3">
      <c r="D55" s="33"/>
      <c r="E55" s="33"/>
      <c r="F55" s="30"/>
    </row>
    <row r="56" spans="2:13" s="18" customFormat="1" ht="14.7" customHeight="1" x14ac:dyDescent="0.25">
      <c r="B56" s="101"/>
      <c r="C56" s="142" t="e">
        <f>#REF!</f>
        <v>#REF!</v>
      </c>
      <c r="D56" s="34" t="s">
        <v>358</v>
      </c>
      <c r="E56" s="15" t="s">
        <v>383</v>
      </c>
      <c r="F56" s="35"/>
      <c r="J56" s="145" t="str">
        <f>IF(COUNTIF(J60,"STOP")=1,IF(COUNTIF(J90,"STOP")=1,IF(COUNTIF(J112,"STOP")=1,IF(COUNTIF(J142,"STOP")=1,"STOP",""))))</f>
        <v>STOP</v>
      </c>
      <c r="M56" s="18" t="str">
        <f>J56</f>
        <v>STOP</v>
      </c>
    </row>
    <row r="57" spans="2:13" ht="4.95" customHeight="1" x14ac:dyDescent="0.3">
      <c r="C57" s="30"/>
      <c r="D57" s="34"/>
      <c r="E57" s="36"/>
      <c r="F57" s="30"/>
    </row>
    <row r="58" spans="2:13" ht="4.95" customHeight="1" x14ac:dyDescent="0.3">
      <c r="C58" s="143"/>
      <c r="D58" s="143"/>
      <c r="E58" s="143"/>
      <c r="F58" s="143"/>
      <c r="G58" s="143"/>
      <c r="H58" s="143"/>
    </row>
    <row r="59" spans="2:13" s="18" customFormat="1" ht="4.95" customHeight="1" x14ac:dyDescent="0.3">
      <c r="B59" s="101"/>
      <c r="D59" s="40"/>
      <c r="E59" s="23"/>
      <c r="F59" s="24"/>
    </row>
    <row r="60" spans="2:13" x14ac:dyDescent="0.3">
      <c r="C60" s="142" t="e">
        <f>#REF!</f>
        <v>#REF!</v>
      </c>
      <c r="D60" s="34" t="s">
        <v>19</v>
      </c>
      <c r="E60" s="36"/>
      <c r="F60" s="30"/>
      <c r="J60" s="145" t="str">
        <f>IF(COUNTIF(J64:L86,"GO")&gt;0,"","STOP")</f>
        <v>STOP</v>
      </c>
    </row>
    <row r="61" spans="2:13" ht="4.95" customHeight="1" x14ac:dyDescent="0.3">
      <c r="C61" s="30"/>
      <c r="D61" s="34"/>
      <c r="E61" s="36"/>
      <c r="F61" s="30"/>
    </row>
    <row r="62" spans="2:13" ht="4.95" customHeight="1" x14ac:dyDescent="0.3">
      <c r="C62" s="143"/>
      <c r="D62" s="143"/>
      <c r="E62" s="143"/>
      <c r="F62" s="143"/>
      <c r="G62" s="143"/>
      <c r="H62" s="143"/>
    </row>
    <row r="63" spans="2:13" s="18" customFormat="1" ht="4.95" customHeight="1" x14ac:dyDescent="0.3">
      <c r="B63" s="101"/>
      <c r="D63" s="40"/>
      <c r="E63" s="23"/>
      <c r="F63" s="24"/>
    </row>
    <row r="64" spans="2:13" x14ac:dyDescent="0.3">
      <c r="C64" s="136" t="e">
        <f>#REF!</f>
        <v>#REF!</v>
      </c>
      <c r="D64" s="26" t="s">
        <v>21</v>
      </c>
      <c r="E64" s="136" t="e">
        <f>#REF!</f>
        <v>#REF!</v>
      </c>
      <c r="F64" s="26" t="s">
        <v>33</v>
      </c>
      <c r="G64" s="136" t="e">
        <f>#REF!</f>
        <v>#REF!</v>
      </c>
      <c r="H64" s="26" t="s">
        <v>45</v>
      </c>
      <c r="J64" s="6" t="str">
        <f>IF(ISERR(FIND($J$15,C64,1)),"STOP","GO")</f>
        <v>STOP</v>
      </c>
      <c r="K64" s="6" t="str">
        <f>IF(ISERR(FIND($J$15,E64,1)),"STOP","GO")</f>
        <v>STOP</v>
      </c>
      <c r="L64" s="6" t="str">
        <f>IF(ISERR(FIND($J$15,G64,1)),"STOP","GO")</f>
        <v>STOP</v>
      </c>
    </row>
    <row r="65" spans="2:12" ht="4.95" customHeight="1" x14ac:dyDescent="0.3">
      <c r="D65" s="26"/>
      <c r="F65" s="26"/>
      <c r="H65" s="26"/>
    </row>
    <row r="66" spans="2:12" x14ac:dyDescent="0.3">
      <c r="C66" s="136" t="e">
        <f>#REF!</f>
        <v>#REF!</v>
      </c>
      <c r="D66" s="26" t="s">
        <v>22</v>
      </c>
      <c r="E66" s="136" t="e">
        <f>#REF!</f>
        <v>#REF!</v>
      </c>
      <c r="F66" s="26" t="s">
        <v>34</v>
      </c>
      <c r="G66" s="136" t="e">
        <f>#REF!</f>
        <v>#REF!</v>
      </c>
      <c r="H66" s="26" t="s">
        <v>46</v>
      </c>
      <c r="J66" s="6" t="str">
        <f t="shared" ref="J66:J86" si="2">IF(ISERR(FIND($J$15,C66,1)),"STOP","GO")</f>
        <v>STOP</v>
      </c>
      <c r="K66" s="6" t="str">
        <f t="shared" ref="K66:K86" si="3">IF(ISERR(FIND($J$15,E66,1)),"STOP","GO")</f>
        <v>STOP</v>
      </c>
      <c r="L66" s="6" t="str">
        <f t="shared" ref="L66:L86" si="4">IF(ISERR(FIND($J$15,G66,1)),"STOP","GO")</f>
        <v>STOP</v>
      </c>
    </row>
    <row r="67" spans="2:12" ht="4.95" customHeight="1" x14ac:dyDescent="0.3">
      <c r="D67" s="26"/>
      <c r="F67" s="26"/>
      <c r="H67" s="26"/>
    </row>
    <row r="68" spans="2:12" s="42" customFormat="1" x14ac:dyDescent="0.3">
      <c r="B68" s="99"/>
      <c r="C68" s="136" t="e">
        <f>#REF!</f>
        <v>#REF!</v>
      </c>
      <c r="D68" s="41" t="s">
        <v>23</v>
      </c>
      <c r="E68" s="136" t="e">
        <f>#REF!</f>
        <v>#REF!</v>
      </c>
      <c r="F68" s="26" t="s">
        <v>35</v>
      </c>
      <c r="G68" s="136" t="e">
        <f>#REF!</f>
        <v>#REF!</v>
      </c>
      <c r="H68" s="26" t="s">
        <v>47</v>
      </c>
      <c r="J68" s="6" t="str">
        <f t="shared" si="2"/>
        <v>STOP</v>
      </c>
      <c r="K68" s="6" t="str">
        <f t="shared" si="3"/>
        <v>STOP</v>
      </c>
      <c r="L68" s="6" t="str">
        <f t="shared" si="4"/>
        <v>STOP</v>
      </c>
    </row>
    <row r="69" spans="2:12" s="42" customFormat="1" ht="4.95" customHeight="1" x14ac:dyDescent="0.3">
      <c r="B69" s="99"/>
      <c r="D69" s="41"/>
      <c r="E69" s="6"/>
      <c r="F69" s="26"/>
      <c r="G69" s="6"/>
      <c r="H69" s="26"/>
      <c r="J69" s="6"/>
      <c r="K69" s="6"/>
      <c r="L69" s="6"/>
    </row>
    <row r="70" spans="2:12" x14ac:dyDescent="0.3">
      <c r="C70" s="136" t="e">
        <f>#REF!</f>
        <v>#REF!</v>
      </c>
      <c r="D70" s="26" t="s">
        <v>24</v>
      </c>
      <c r="E70" s="136" t="e">
        <f>#REF!</f>
        <v>#REF!</v>
      </c>
      <c r="F70" s="26" t="s">
        <v>36</v>
      </c>
      <c r="G70" s="136" t="e">
        <f>#REF!</f>
        <v>#REF!</v>
      </c>
      <c r="H70" s="26" t="s">
        <v>48</v>
      </c>
      <c r="J70" s="6" t="str">
        <f t="shared" si="2"/>
        <v>STOP</v>
      </c>
      <c r="K70" s="6" t="str">
        <f t="shared" si="3"/>
        <v>STOP</v>
      </c>
      <c r="L70" s="6" t="str">
        <f t="shared" si="4"/>
        <v>STOP</v>
      </c>
    </row>
    <row r="71" spans="2:12" ht="4.95" customHeight="1" x14ac:dyDescent="0.3">
      <c r="D71" s="26"/>
      <c r="F71" s="26"/>
      <c r="G71" s="42"/>
      <c r="H71" s="26"/>
    </row>
    <row r="72" spans="2:12" x14ac:dyDescent="0.3">
      <c r="C72" s="136" t="e">
        <f>#REF!</f>
        <v>#REF!</v>
      </c>
      <c r="D72" s="26" t="s">
        <v>25</v>
      </c>
      <c r="E72" s="136" t="e">
        <f>#REF!</f>
        <v>#REF!</v>
      </c>
      <c r="F72" s="26" t="s">
        <v>37</v>
      </c>
      <c r="G72" s="136" t="e">
        <f>#REF!</f>
        <v>#REF!</v>
      </c>
      <c r="H72" s="26" t="s">
        <v>49</v>
      </c>
      <c r="J72" s="6" t="str">
        <f t="shared" si="2"/>
        <v>STOP</v>
      </c>
      <c r="K72" s="6" t="str">
        <f t="shared" si="3"/>
        <v>STOP</v>
      </c>
      <c r="L72" s="6" t="str">
        <f t="shared" si="4"/>
        <v>STOP</v>
      </c>
    </row>
    <row r="73" spans="2:12" ht="4.95" customHeight="1" x14ac:dyDescent="0.3">
      <c r="D73" s="26"/>
      <c r="F73" s="26"/>
      <c r="H73" s="26"/>
    </row>
    <row r="74" spans="2:12" x14ac:dyDescent="0.3">
      <c r="C74" s="136" t="e">
        <f>#REF!</f>
        <v>#REF!</v>
      </c>
      <c r="D74" s="26" t="s">
        <v>26</v>
      </c>
      <c r="E74" s="136" t="e">
        <f>#REF!</f>
        <v>#REF!</v>
      </c>
      <c r="F74" s="26" t="s">
        <v>38</v>
      </c>
      <c r="G74" s="136" t="e">
        <f>#REF!</f>
        <v>#REF!</v>
      </c>
      <c r="H74" s="26" t="s">
        <v>50</v>
      </c>
      <c r="J74" s="6" t="str">
        <f t="shared" si="2"/>
        <v>STOP</v>
      </c>
      <c r="K74" s="6" t="str">
        <f t="shared" si="3"/>
        <v>STOP</v>
      </c>
      <c r="L74" s="6" t="str">
        <f t="shared" si="4"/>
        <v>STOP</v>
      </c>
    </row>
    <row r="75" spans="2:12" ht="4.95" customHeight="1" x14ac:dyDescent="0.3">
      <c r="D75" s="26"/>
      <c r="F75" s="26"/>
      <c r="H75" s="26"/>
    </row>
    <row r="76" spans="2:12" x14ac:dyDescent="0.3">
      <c r="C76" s="136" t="e">
        <f>#REF!</f>
        <v>#REF!</v>
      </c>
      <c r="D76" s="26" t="s">
        <v>27</v>
      </c>
      <c r="E76" s="136" t="e">
        <f>#REF!</f>
        <v>#REF!</v>
      </c>
      <c r="F76" s="26" t="s">
        <v>39</v>
      </c>
      <c r="G76" s="136" t="e">
        <f>#REF!</f>
        <v>#REF!</v>
      </c>
      <c r="H76" s="26" t="s">
        <v>51</v>
      </c>
      <c r="J76" s="6" t="str">
        <f t="shared" si="2"/>
        <v>STOP</v>
      </c>
      <c r="K76" s="6" t="str">
        <f t="shared" si="3"/>
        <v>STOP</v>
      </c>
      <c r="L76" s="6" t="str">
        <f t="shared" si="4"/>
        <v>STOP</v>
      </c>
    </row>
    <row r="77" spans="2:12" ht="4.95" customHeight="1" x14ac:dyDescent="0.3">
      <c r="D77" s="26"/>
      <c r="F77" s="26"/>
      <c r="H77" s="26"/>
    </row>
    <row r="78" spans="2:12" x14ac:dyDescent="0.3">
      <c r="C78" s="136" t="e">
        <f>#REF!</f>
        <v>#REF!</v>
      </c>
      <c r="D78" s="26" t="s">
        <v>28</v>
      </c>
      <c r="E78" s="136" t="e">
        <f>#REF!</f>
        <v>#REF!</v>
      </c>
      <c r="F78" s="26" t="s">
        <v>40</v>
      </c>
      <c r="G78" s="136" t="e">
        <f>#REF!</f>
        <v>#REF!</v>
      </c>
      <c r="H78" s="26" t="s">
        <v>52</v>
      </c>
      <c r="J78" s="6" t="str">
        <f t="shared" si="2"/>
        <v>STOP</v>
      </c>
      <c r="K78" s="6" t="str">
        <f t="shared" si="3"/>
        <v>STOP</v>
      </c>
      <c r="L78" s="6" t="str">
        <f t="shared" si="4"/>
        <v>STOP</v>
      </c>
    </row>
    <row r="79" spans="2:12" ht="4.95" customHeight="1" x14ac:dyDescent="0.3">
      <c r="D79" s="26"/>
      <c r="F79" s="26"/>
      <c r="H79" s="26"/>
    </row>
    <row r="80" spans="2:12" x14ac:dyDescent="0.3">
      <c r="C80" s="136" t="e">
        <f>#REF!</f>
        <v>#REF!</v>
      </c>
      <c r="D80" s="26" t="s">
        <v>29</v>
      </c>
      <c r="E80" s="136" t="e">
        <f>#REF!</f>
        <v>#REF!</v>
      </c>
      <c r="F80" s="41" t="s">
        <v>41</v>
      </c>
      <c r="G80" s="136" t="e">
        <f>#REF!</f>
        <v>#REF!</v>
      </c>
      <c r="H80" s="26" t="s">
        <v>53</v>
      </c>
      <c r="J80" s="6" t="str">
        <f t="shared" si="2"/>
        <v>STOP</v>
      </c>
      <c r="K80" s="6" t="str">
        <f t="shared" si="3"/>
        <v>STOP</v>
      </c>
      <c r="L80" s="6" t="str">
        <f t="shared" si="4"/>
        <v>STOP</v>
      </c>
    </row>
    <row r="81" spans="2:12" ht="4.95" customHeight="1" x14ac:dyDescent="0.3">
      <c r="D81" s="26"/>
      <c r="E81" s="42"/>
      <c r="F81" s="41"/>
      <c r="H81" s="26"/>
    </row>
    <row r="82" spans="2:12" x14ac:dyDescent="0.3">
      <c r="C82" s="136" t="e">
        <f>#REF!</f>
        <v>#REF!</v>
      </c>
      <c r="D82" s="26" t="s">
        <v>30</v>
      </c>
      <c r="E82" s="136" t="e">
        <f>#REF!</f>
        <v>#REF!</v>
      </c>
      <c r="F82" s="26" t="s">
        <v>42</v>
      </c>
      <c r="G82" s="136" t="e">
        <f>#REF!</f>
        <v>#REF!</v>
      </c>
      <c r="H82" s="26" t="s">
        <v>54</v>
      </c>
      <c r="J82" s="6" t="str">
        <f t="shared" si="2"/>
        <v>STOP</v>
      </c>
      <c r="K82" s="6" t="str">
        <f t="shared" si="3"/>
        <v>STOP</v>
      </c>
      <c r="L82" s="6" t="str">
        <f t="shared" si="4"/>
        <v>STOP</v>
      </c>
    </row>
    <row r="83" spans="2:12" ht="4.95" customHeight="1" x14ac:dyDescent="0.3">
      <c r="C83" s="42"/>
      <c r="D83" s="26"/>
      <c r="F83" s="26"/>
      <c r="H83" s="26"/>
    </row>
    <row r="84" spans="2:12" x14ac:dyDescent="0.3">
      <c r="C84" s="136" t="e">
        <f>#REF!</f>
        <v>#REF!</v>
      </c>
      <c r="D84" s="26" t="s">
        <v>31</v>
      </c>
      <c r="E84" s="136" t="e">
        <f>#REF!</f>
        <v>#REF!</v>
      </c>
      <c r="F84" s="26" t="s">
        <v>43</v>
      </c>
      <c r="G84" s="136" t="e">
        <f>#REF!</f>
        <v>#REF!</v>
      </c>
      <c r="H84" s="26" t="s">
        <v>55</v>
      </c>
      <c r="J84" s="6" t="str">
        <f t="shared" si="2"/>
        <v>STOP</v>
      </c>
      <c r="K84" s="6" t="str">
        <f t="shared" si="3"/>
        <v>STOP</v>
      </c>
      <c r="L84" s="6" t="str">
        <f t="shared" si="4"/>
        <v>STOP</v>
      </c>
    </row>
    <row r="85" spans="2:12" ht="4.95" customHeight="1" x14ac:dyDescent="0.3">
      <c r="D85" s="26"/>
      <c r="F85" s="26"/>
      <c r="H85" s="26"/>
    </row>
    <row r="86" spans="2:12" x14ac:dyDescent="0.3">
      <c r="C86" s="136" t="e">
        <f>#REF!</f>
        <v>#REF!</v>
      </c>
      <c r="D86" s="26" t="s">
        <v>32</v>
      </c>
      <c r="E86" s="136" t="e">
        <f>#REF!</f>
        <v>#REF!</v>
      </c>
      <c r="F86" s="26" t="s">
        <v>44</v>
      </c>
      <c r="G86" s="136" t="e">
        <f>#REF!</f>
        <v>#REF!</v>
      </c>
      <c r="H86" s="26" t="s">
        <v>56</v>
      </c>
      <c r="J86" s="6" t="str">
        <f t="shared" si="2"/>
        <v>STOP</v>
      </c>
      <c r="K86" s="6" t="str">
        <f t="shared" si="3"/>
        <v>STOP</v>
      </c>
      <c r="L86" s="6" t="str">
        <f t="shared" si="4"/>
        <v>STOP</v>
      </c>
    </row>
    <row r="87" spans="2:12" ht="4.95" customHeight="1" x14ac:dyDescent="0.3">
      <c r="C87" s="30"/>
      <c r="D87" s="34"/>
      <c r="E87" s="36"/>
      <c r="F87" s="30"/>
    </row>
    <row r="88" spans="2:12" ht="4.95" customHeight="1" x14ac:dyDescent="0.3">
      <c r="C88" s="143"/>
      <c r="D88" s="143"/>
      <c r="E88" s="143"/>
      <c r="F88" s="143"/>
      <c r="G88" s="143"/>
      <c r="H88" s="143"/>
    </row>
    <row r="89" spans="2:12" s="18" customFormat="1" ht="4.95" customHeight="1" x14ac:dyDescent="0.3">
      <c r="B89" s="101"/>
      <c r="D89" s="40"/>
      <c r="E89" s="23"/>
      <c r="F89" s="24"/>
    </row>
    <row r="90" spans="2:12" x14ac:dyDescent="0.3">
      <c r="C90" s="142" t="e">
        <f>#REF!</f>
        <v>#REF!</v>
      </c>
      <c r="D90" s="34" t="s">
        <v>20</v>
      </c>
      <c r="E90" s="36"/>
      <c r="F90" s="30"/>
      <c r="J90" s="145" t="str">
        <f>IF(COUNTIF(J94:L108,"GO")&gt;0,"","STOP")</f>
        <v>STOP</v>
      </c>
    </row>
    <row r="91" spans="2:12" ht="4.95" customHeight="1" x14ac:dyDescent="0.3">
      <c r="C91" s="30"/>
      <c r="D91" s="34"/>
      <c r="E91" s="36"/>
      <c r="F91" s="30"/>
    </row>
    <row r="92" spans="2:12" ht="4.95" customHeight="1" x14ac:dyDescent="0.3">
      <c r="C92" s="143"/>
      <c r="D92" s="143"/>
      <c r="E92" s="143"/>
      <c r="F92" s="143"/>
      <c r="G92" s="143"/>
      <c r="H92" s="143"/>
    </row>
    <row r="93" spans="2:12" s="18" customFormat="1" ht="4.95" customHeight="1" x14ac:dyDescent="0.3">
      <c r="B93" s="101"/>
      <c r="D93" s="40"/>
      <c r="E93" s="23"/>
      <c r="F93" s="24"/>
    </row>
    <row r="94" spans="2:12" x14ac:dyDescent="0.3">
      <c r="C94" s="136" t="e">
        <f>#REF!</f>
        <v>#REF!</v>
      </c>
      <c r="D94" s="41" t="s">
        <v>57</v>
      </c>
      <c r="E94" s="136" t="e">
        <f>#REF!</f>
        <v>#REF!</v>
      </c>
      <c r="F94" s="41" t="s">
        <v>65</v>
      </c>
      <c r="G94" s="136" t="e">
        <f>#REF!</f>
        <v>#REF!</v>
      </c>
      <c r="H94" s="41" t="s">
        <v>73</v>
      </c>
      <c r="J94" s="6" t="str">
        <f>IF(ISERR(FIND($J$15,C94,1)),"STOP","GO")</f>
        <v>STOP</v>
      </c>
      <c r="K94" s="6" t="str">
        <f>IF(ISERR(FIND($J$15,E94,1)),"STOP","GO")</f>
        <v>STOP</v>
      </c>
      <c r="L94" s="6" t="str">
        <f>IF(ISERR(FIND($J$15,G94,1)),"STOP","GO")</f>
        <v>STOP</v>
      </c>
    </row>
    <row r="95" spans="2:12" ht="4.95" customHeight="1" x14ac:dyDescent="0.3">
      <c r="D95" s="41"/>
      <c r="F95" s="41"/>
      <c r="H95" s="41"/>
    </row>
    <row r="96" spans="2:12" x14ac:dyDescent="0.3">
      <c r="C96" s="136" t="e">
        <f>#REF!</f>
        <v>#REF!</v>
      </c>
      <c r="D96" s="41" t="s">
        <v>58</v>
      </c>
      <c r="E96" s="136" t="e">
        <f>#REF!</f>
        <v>#REF!</v>
      </c>
      <c r="F96" s="41" t="s">
        <v>66</v>
      </c>
      <c r="G96" s="136" t="e">
        <f>#REF!</f>
        <v>#REF!</v>
      </c>
      <c r="H96" s="41" t="s">
        <v>74</v>
      </c>
      <c r="J96" s="6" t="str">
        <f t="shared" ref="J96" si="5">IF(ISERR(FIND($J$15,C96,1)),"STOP","GO")</f>
        <v>STOP</v>
      </c>
      <c r="K96" s="6" t="str">
        <f t="shared" ref="K96" si="6">IF(ISERR(FIND($J$15,E96,1)),"STOP","GO")</f>
        <v>STOP</v>
      </c>
      <c r="L96" s="6" t="str">
        <f t="shared" ref="L96" si="7">IF(ISERR(FIND($J$15,G96,1)),"STOP","GO")</f>
        <v>STOP</v>
      </c>
    </row>
    <row r="97" spans="2:12" ht="4.95" customHeight="1" x14ac:dyDescent="0.3">
      <c r="D97" s="41"/>
      <c r="F97" s="41"/>
      <c r="H97" s="41"/>
    </row>
    <row r="98" spans="2:12" x14ac:dyDescent="0.3">
      <c r="C98" s="136" t="e">
        <f>#REF!</f>
        <v>#REF!</v>
      </c>
      <c r="D98" s="41" t="s">
        <v>59</v>
      </c>
      <c r="E98" s="136" t="e">
        <f>#REF!</f>
        <v>#REF!</v>
      </c>
      <c r="F98" s="41" t="s">
        <v>67</v>
      </c>
      <c r="G98" s="136" t="e">
        <f>#REF!</f>
        <v>#REF!</v>
      </c>
      <c r="H98" s="41" t="s">
        <v>75</v>
      </c>
      <c r="J98" s="6" t="str">
        <f t="shared" ref="J98" si="8">IF(ISERR(FIND($J$15,C98,1)),"STOP","GO")</f>
        <v>STOP</v>
      </c>
      <c r="K98" s="6" t="str">
        <f t="shared" ref="K98" si="9">IF(ISERR(FIND($J$15,E98,1)),"STOP","GO")</f>
        <v>STOP</v>
      </c>
      <c r="L98" s="6" t="str">
        <f t="shared" ref="L98" si="10">IF(ISERR(FIND($J$15,G98,1)),"STOP","GO")</f>
        <v>STOP</v>
      </c>
    </row>
    <row r="99" spans="2:12" ht="4.95" customHeight="1" x14ac:dyDescent="0.3">
      <c r="D99" s="41"/>
      <c r="F99" s="41"/>
      <c r="H99" s="41"/>
    </row>
    <row r="100" spans="2:12" x14ac:dyDescent="0.3">
      <c r="C100" s="136" t="e">
        <f>#REF!</f>
        <v>#REF!</v>
      </c>
      <c r="D100" s="41" t="s">
        <v>60</v>
      </c>
      <c r="E100" s="136" t="e">
        <f>#REF!</f>
        <v>#REF!</v>
      </c>
      <c r="F100" s="41" t="s">
        <v>68</v>
      </c>
      <c r="G100" s="136" t="e">
        <f>#REF!</f>
        <v>#REF!</v>
      </c>
      <c r="H100" s="41" t="s">
        <v>76</v>
      </c>
      <c r="J100" s="6" t="str">
        <f>IF(ISERR(FIND($J$15,C100,1)),"STOP","GO")</f>
        <v>STOP</v>
      </c>
      <c r="K100" s="6" t="str">
        <f t="shared" ref="K100" si="11">IF(ISERR(FIND($J$15,E100,1)),"STOP","GO")</f>
        <v>STOP</v>
      </c>
      <c r="L100" s="6" t="str">
        <f t="shared" ref="L100" si="12">IF(ISERR(FIND($J$15,G100,1)),"STOP","GO")</f>
        <v>STOP</v>
      </c>
    </row>
    <row r="101" spans="2:12" ht="4.95" customHeight="1" x14ac:dyDescent="0.3">
      <c r="D101" s="41"/>
      <c r="F101" s="41"/>
      <c r="H101" s="41"/>
    </row>
    <row r="102" spans="2:12" x14ac:dyDescent="0.3">
      <c r="C102" s="136" t="e">
        <f>#REF!</f>
        <v>#REF!</v>
      </c>
      <c r="D102" s="41" t="s">
        <v>61</v>
      </c>
      <c r="E102" s="136" t="e">
        <f>#REF!</f>
        <v>#REF!</v>
      </c>
      <c r="F102" s="41" t="s">
        <v>69</v>
      </c>
      <c r="G102" s="136" t="e">
        <f>#REF!</f>
        <v>#REF!</v>
      </c>
      <c r="H102" s="41" t="s">
        <v>77</v>
      </c>
      <c r="J102" s="6" t="str">
        <f t="shared" ref="J102" si="13">IF(ISERR(FIND($J$15,C102,1)),"STOP","GO")</f>
        <v>STOP</v>
      </c>
      <c r="K102" s="6" t="str">
        <f t="shared" ref="K102" si="14">IF(ISERR(FIND($J$15,E102,1)),"STOP","GO")</f>
        <v>STOP</v>
      </c>
      <c r="L102" s="6" t="str">
        <f t="shared" ref="L102" si="15">IF(ISERR(FIND($J$15,G102,1)),"STOP","GO")</f>
        <v>STOP</v>
      </c>
    </row>
    <row r="103" spans="2:12" ht="4.95" customHeight="1" x14ac:dyDescent="0.3">
      <c r="D103" s="41"/>
      <c r="F103" s="41"/>
      <c r="H103" s="41"/>
    </row>
    <row r="104" spans="2:12" x14ac:dyDescent="0.3">
      <c r="C104" s="136" t="e">
        <f>#REF!</f>
        <v>#REF!</v>
      </c>
      <c r="D104" s="41" t="s">
        <v>62</v>
      </c>
      <c r="E104" s="136" t="e">
        <f>#REF!</f>
        <v>#REF!</v>
      </c>
      <c r="F104" s="41" t="s">
        <v>70</v>
      </c>
      <c r="G104" s="136" t="e">
        <f>#REF!</f>
        <v>#REF!</v>
      </c>
      <c r="H104" s="41" t="s">
        <v>78</v>
      </c>
      <c r="J104" s="6" t="str">
        <f t="shared" ref="J104" si="16">IF(ISERR(FIND($J$15,C104,1)),"STOP","GO")</f>
        <v>STOP</v>
      </c>
      <c r="K104" s="6" t="str">
        <f t="shared" ref="K104" si="17">IF(ISERR(FIND($J$15,E104,1)),"STOP","GO")</f>
        <v>STOP</v>
      </c>
      <c r="L104" s="6" t="str">
        <f t="shared" ref="L104" si="18">IF(ISERR(FIND($J$15,G104,1)),"STOP","GO")</f>
        <v>STOP</v>
      </c>
    </row>
    <row r="105" spans="2:12" ht="4.95" customHeight="1" x14ac:dyDescent="0.3">
      <c r="C105" s="42"/>
      <c r="D105" s="41"/>
      <c r="E105" s="42"/>
      <c r="F105" s="41"/>
      <c r="G105" s="42"/>
      <c r="H105" s="41"/>
    </row>
    <row r="106" spans="2:12" x14ac:dyDescent="0.3">
      <c r="C106" s="136" t="e">
        <f>#REF!</f>
        <v>#REF!</v>
      </c>
      <c r="D106" s="41" t="s">
        <v>63</v>
      </c>
      <c r="E106" s="136" t="e">
        <f>#REF!</f>
        <v>#REF!</v>
      </c>
      <c r="F106" s="41" t="s">
        <v>71</v>
      </c>
      <c r="G106" s="136" t="e">
        <f>#REF!</f>
        <v>#REF!</v>
      </c>
      <c r="H106" s="41" t="s">
        <v>79</v>
      </c>
      <c r="J106" s="6" t="str">
        <f t="shared" ref="J106" si="19">IF(ISERR(FIND($J$15,C106,1)),"STOP","GO")</f>
        <v>STOP</v>
      </c>
      <c r="K106" s="6" t="str">
        <f t="shared" ref="K106" si="20">IF(ISERR(FIND($J$15,E106,1)),"STOP","GO")</f>
        <v>STOP</v>
      </c>
      <c r="L106" s="6" t="str">
        <f t="shared" ref="L106" si="21">IF(ISERR(FIND($J$15,G106,1)),"STOP","GO")</f>
        <v>STOP</v>
      </c>
    </row>
    <row r="107" spans="2:12" ht="4.95" customHeight="1" x14ac:dyDescent="0.3">
      <c r="D107" s="41"/>
      <c r="F107" s="41"/>
      <c r="H107" s="41"/>
    </row>
    <row r="108" spans="2:12" x14ac:dyDescent="0.3">
      <c r="C108" s="136" t="e">
        <f>#REF!</f>
        <v>#REF!</v>
      </c>
      <c r="D108" s="41" t="s">
        <v>64</v>
      </c>
      <c r="E108" s="136" t="e">
        <f>#REF!</f>
        <v>#REF!</v>
      </c>
      <c r="F108" s="41" t="s">
        <v>72</v>
      </c>
      <c r="G108" s="136" t="e">
        <f>#REF!</f>
        <v>#REF!</v>
      </c>
      <c r="H108" s="41" t="s">
        <v>80</v>
      </c>
      <c r="J108" s="6" t="str">
        <f t="shared" ref="J108" si="22">IF(ISERR(FIND($J$15,C108,1)),"STOP","GO")</f>
        <v>STOP</v>
      </c>
      <c r="K108" s="6" t="str">
        <f t="shared" ref="K108" si="23">IF(ISERR(FIND($J$15,E108,1)),"STOP","GO")</f>
        <v>STOP</v>
      </c>
      <c r="L108" s="6" t="str">
        <f t="shared" ref="L108" si="24">IF(ISERR(FIND($J$15,G108,1)),"STOP","GO")</f>
        <v>STOP</v>
      </c>
    </row>
    <row r="109" spans="2:12" ht="4.95" customHeight="1" x14ac:dyDescent="0.3">
      <c r="C109" s="30"/>
      <c r="D109" s="34"/>
      <c r="E109" s="36"/>
      <c r="F109" s="30"/>
    </row>
    <row r="110" spans="2:12" ht="4.95" customHeight="1" x14ac:dyDescent="0.3">
      <c r="C110" s="143"/>
      <c r="D110" s="143"/>
      <c r="E110" s="143"/>
      <c r="F110" s="143"/>
      <c r="G110" s="143"/>
      <c r="H110" s="143"/>
    </row>
    <row r="111" spans="2:12" s="18" customFormat="1" ht="4.95" customHeight="1" x14ac:dyDescent="0.3">
      <c r="B111" s="101"/>
      <c r="D111" s="40"/>
      <c r="E111" s="23"/>
      <c r="F111" s="24"/>
    </row>
    <row r="112" spans="2:12" x14ac:dyDescent="0.3">
      <c r="C112" s="142" t="e">
        <f>#REF!</f>
        <v>#REF!</v>
      </c>
      <c r="D112" s="34" t="s">
        <v>81</v>
      </c>
      <c r="E112" s="36"/>
      <c r="F112" s="30"/>
      <c r="J112" s="145" t="str">
        <f>IF(COUNTIF(J116:L138,"GO")&gt;0,"","STOP")</f>
        <v>STOP</v>
      </c>
    </row>
    <row r="113" spans="2:12" ht="4.95" customHeight="1" x14ac:dyDescent="0.3">
      <c r="C113" s="30"/>
      <c r="D113" s="34"/>
      <c r="E113" s="36"/>
      <c r="F113" s="30"/>
    </row>
    <row r="114" spans="2:12" ht="4.95" customHeight="1" x14ac:dyDescent="0.3">
      <c r="C114" s="143"/>
      <c r="D114" s="143"/>
      <c r="E114" s="143"/>
      <c r="F114" s="143"/>
      <c r="G114" s="143"/>
      <c r="H114" s="143"/>
    </row>
    <row r="115" spans="2:12" s="18" customFormat="1" ht="4.95" customHeight="1" x14ac:dyDescent="0.3">
      <c r="B115" s="101"/>
      <c r="D115" s="40"/>
      <c r="E115" s="23"/>
      <c r="F115" s="24"/>
    </row>
    <row r="116" spans="2:12" x14ac:dyDescent="0.3">
      <c r="C116" s="136" t="e">
        <f>#REF!</f>
        <v>#REF!</v>
      </c>
      <c r="D116" s="43" t="s">
        <v>82</v>
      </c>
      <c r="E116" s="136" t="e">
        <f>#REF!</f>
        <v>#REF!</v>
      </c>
      <c r="F116" s="43" t="s">
        <v>94</v>
      </c>
      <c r="G116" s="136" t="e">
        <f>#REF!</f>
        <v>#REF!</v>
      </c>
      <c r="H116" s="41" t="s">
        <v>106</v>
      </c>
      <c r="J116" s="6" t="str">
        <f>IF(ISERR(FIND($J$15,C116,1)),"STOP","GO")</f>
        <v>STOP</v>
      </c>
      <c r="K116" s="6" t="str">
        <f>IF(ISERR(FIND($J$15,E116,1)),"STOP","GO")</f>
        <v>STOP</v>
      </c>
      <c r="L116" s="6" t="str">
        <f>IF(ISERR(FIND($J$15,G116,1)),"STOP","GO")</f>
        <v>STOP</v>
      </c>
    </row>
    <row r="117" spans="2:12" ht="4.95" customHeight="1" x14ac:dyDescent="0.3">
      <c r="D117" s="43"/>
      <c r="F117" s="43"/>
      <c r="H117" s="41"/>
    </row>
    <row r="118" spans="2:12" x14ac:dyDescent="0.3">
      <c r="C118" s="136" t="e">
        <f>#REF!</f>
        <v>#REF!</v>
      </c>
      <c r="D118" s="43" t="s">
        <v>83</v>
      </c>
      <c r="E118" s="136" t="e">
        <f>#REF!</f>
        <v>#REF!</v>
      </c>
      <c r="F118" s="43" t="s">
        <v>95</v>
      </c>
      <c r="G118" s="136" t="e">
        <f>#REF!</f>
        <v>#REF!</v>
      </c>
      <c r="H118" s="41" t="s">
        <v>107</v>
      </c>
      <c r="J118" s="6" t="str">
        <f t="shared" ref="J118" si="25">IF(ISERR(FIND($J$15,C118,1)),"STOP","GO")</f>
        <v>STOP</v>
      </c>
      <c r="K118" s="6" t="str">
        <f t="shared" ref="K118" si="26">IF(ISERR(FIND($J$15,E118,1)),"STOP","GO")</f>
        <v>STOP</v>
      </c>
      <c r="L118" s="6" t="str">
        <f t="shared" ref="L118" si="27">IF(ISERR(FIND($J$15,G118,1)),"STOP","GO")</f>
        <v>STOP</v>
      </c>
    </row>
    <row r="119" spans="2:12" ht="4.95" customHeight="1" x14ac:dyDescent="0.3">
      <c r="D119" s="43"/>
      <c r="F119" s="43"/>
      <c r="H119" s="41"/>
    </row>
    <row r="120" spans="2:12" x14ac:dyDescent="0.3">
      <c r="C120" s="136" t="e">
        <f>#REF!</f>
        <v>#REF!</v>
      </c>
      <c r="D120" s="43" t="s">
        <v>84</v>
      </c>
      <c r="E120" s="136" t="e">
        <f>#REF!</f>
        <v>#REF!</v>
      </c>
      <c r="F120" s="43" t="s">
        <v>96</v>
      </c>
      <c r="G120" s="136" t="e">
        <f>#REF!</f>
        <v>#REF!</v>
      </c>
      <c r="H120" s="41" t="s">
        <v>108</v>
      </c>
      <c r="J120" s="6" t="str">
        <f t="shared" ref="J120" si="28">IF(ISERR(FIND($J$15,C120,1)),"STOP","GO")</f>
        <v>STOP</v>
      </c>
      <c r="K120" s="6" t="str">
        <f t="shared" ref="K120" si="29">IF(ISERR(FIND($J$15,E120,1)),"STOP","GO")</f>
        <v>STOP</v>
      </c>
      <c r="L120" s="6" t="str">
        <f t="shared" ref="L120" si="30">IF(ISERR(FIND($J$15,G120,1)),"STOP","GO")</f>
        <v>STOP</v>
      </c>
    </row>
    <row r="121" spans="2:12" ht="4.95" customHeight="1" x14ac:dyDescent="0.3">
      <c r="C121" s="42"/>
      <c r="D121" s="43"/>
      <c r="E121" s="42"/>
      <c r="F121" s="43"/>
      <c r="G121" s="42"/>
      <c r="H121" s="41"/>
    </row>
    <row r="122" spans="2:12" x14ac:dyDescent="0.3">
      <c r="C122" s="136" t="e">
        <f>#REF!</f>
        <v>#REF!</v>
      </c>
      <c r="D122" s="43" t="s">
        <v>85</v>
      </c>
      <c r="E122" s="136" t="e">
        <f>#REF!</f>
        <v>#REF!</v>
      </c>
      <c r="F122" s="43" t="s">
        <v>97</v>
      </c>
      <c r="G122" s="136" t="e">
        <f>#REF!</f>
        <v>#REF!</v>
      </c>
      <c r="H122" s="41" t="s">
        <v>109</v>
      </c>
      <c r="J122" s="6" t="str">
        <f>IF(ISERR(FIND($J$15,C122,1)),"STOP","GO")</f>
        <v>STOP</v>
      </c>
      <c r="K122" s="6" t="str">
        <f t="shared" ref="K122" si="31">IF(ISERR(FIND($J$15,E122,1)),"STOP","GO")</f>
        <v>STOP</v>
      </c>
      <c r="L122" s="6" t="str">
        <f t="shared" ref="L122" si="32">IF(ISERR(FIND($J$15,G122,1)),"STOP","GO")</f>
        <v>STOP</v>
      </c>
    </row>
    <row r="123" spans="2:12" ht="4.95" customHeight="1" x14ac:dyDescent="0.3">
      <c r="D123" s="43"/>
      <c r="F123" s="43"/>
      <c r="H123" s="41"/>
    </row>
    <row r="124" spans="2:12" x14ac:dyDescent="0.3">
      <c r="C124" s="136" t="e">
        <f>#REF!</f>
        <v>#REF!</v>
      </c>
      <c r="D124" s="43" t="s">
        <v>86</v>
      </c>
      <c r="E124" s="136" t="e">
        <f>#REF!</f>
        <v>#REF!</v>
      </c>
      <c r="F124" s="43" t="s">
        <v>98</v>
      </c>
      <c r="G124" s="136" t="e">
        <f>#REF!</f>
        <v>#REF!</v>
      </c>
      <c r="H124" s="41" t="s">
        <v>110</v>
      </c>
      <c r="J124" s="6" t="str">
        <f t="shared" ref="J124" si="33">IF(ISERR(FIND($J$15,C124,1)),"STOP","GO")</f>
        <v>STOP</v>
      </c>
      <c r="K124" s="6" t="str">
        <f t="shared" ref="K124" si="34">IF(ISERR(FIND($J$15,E124,1)),"STOP","GO")</f>
        <v>STOP</v>
      </c>
      <c r="L124" s="6" t="str">
        <f t="shared" ref="L124" si="35">IF(ISERR(FIND($J$15,G124,1)),"STOP","GO")</f>
        <v>STOP</v>
      </c>
    </row>
    <row r="125" spans="2:12" ht="4.95" customHeight="1" x14ac:dyDescent="0.3">
      <c r="D125" s="43"/>
      <c r="F125" s="43"/>
      <c r="H125" s="41"/>
    </row>
    <row r="126" spans="2:12" x14ac:dyDescent="0.3">
      <c r="C126" s="136" t="e">
        <f>#REF!</f>
        <v>#REF!</v>
      </c>
      <c r="D126" s="43" t="s">
        <v>87</v>
      </c>
      <c r="E126" s="136" t="e">
        <f>#REF!</f>
        <v>#REF!</v>
      </c>
      <c r="F126" s="43" t="s">
        <v>99</v>
      </c>
      <c r="G126" s="136" t="e">
        <f>#REF!</f>
        <v>#REF!</v>
      </c>
      <c r="H126" s="41" t="s">
        <v>111</v>
      </c>
      <c r="J126" s="6" t="str">
        <f t="shared" ref="J126" si="36">IF(ISERR(FIND($J$15,C126,1)),"STOP","GO")</f>
        <v>STOP</v>
      </c>
      <c r="K126" s="6" t="str">
        <f t="shared" ref="K126" si="37">IF(ISERR(FIND($J$15,E126,1)),"STOP","GO")</f>
        <v>STOP</v>
      </c>
      <c r="L126" s="6" t="str">
        <f t="shared" ref="L126" si="38">IF(ISERR(FIND($J$15,G126,1)),"STOP","GO")</f>
        <v>STOP</v>
      </c>
    </row>
    <row r="127" spans="2:12" ht="4.95" customHeight="1" x14ac:dyDescent="0.3">
      <c r="D127" s="43"/>
      <c r="F127" s="43"/>
      <c r="H127" s="41"/>
    </row>
    <row r="128" spans="2:12" x14ac:dyDescent="0.3">
      <c r="C128" s="136" t="e">
        <f>#REF!</f>
        <v>#REF!</v>
      </c>
      <c r="D128" s="43" t="s">
        <v>88</v>
      </c>
      <c r="E128" s="136" t="e">
        <f>#REF!</f>
        <v>#REF!</v>
      </c>
      <c r="F128" s="43" t="s">
        <v>100</v>
      </c>
      <c r="G128" s="136" t="e">
        <f>#REF!</f>
        <v>#REF!</v>
      </c>
      <c r="H128" s="41" t="s">
        <v>112</v>
      </c>
      <c r="J128" s="6" t="str">
        <f t="shared" ref="J128" si="39">IF(ISERR(FIND($J$15,C128,1)),"STOP","GO")</f>
        <v>STOP</v>
      </c>
      <c r="K128" s="6" t="str">
        <f t="shared" ref="K128" si="40">IF(ISERR(FIND($J$15,E128,1)),"STOP","GO")</f>
        <v>STOP</v>
      </c>
      <c r="L128" s="6" t="str">
        <f t="shared" ref="L128" si="41">IF(ISERR(FIND($J$15,G128,1)),"STOP","GO")</f>
        <v>STOP</v>
      </c>
    </row>
    <row r="129" spans="2:12" ht="4.95" customHeight="1" x14ac:dyDescent="0.3">
      <c r="D129" s="43"/>
      <c r="E129" s="62"/>
      <c r="F129" s="43"/>
      <c r="H129" s="41"/>
    </row>
    <row r="130" spans="2:12" x14ac:dyDescent="0.3">
      <c r="C130" s="136" t="e">
        <f>#REF!</f>
        <v>#REF!</v>
      </c>
      <c r="D130" s="43" t="s">
        <v>89</v>
      </c>
      <c r="E130" s="136" t="e">
        <f>#REF!</f>
        <v>#REF!</v>
      </c>
      <c r="F130" s="41" t="s">
        <v>101</v>
      </c>
      <c r="G130" s="136" t="e">
        <f>#REF!</f>
        <v>#REF!</v>
      </c>
      <c r="H130" s="41" t="s">
        <v>113</v>
      </c>
      <c r="J130" s="6" t="str">
        <f t="shared" ref="J130" si="42">IF(ISERR(FIND($J$15,C130,1)),"STOP","GO")</f>
        <v>STOP</v>
      </c>
      <c r="K130" s="6" t="str">
        <f t="shared" ref="K130" si="43">IF(ISERR(FIND($J$15,E130,1)),"STOP","GO")</f>
        <v>STOP</v>
      </c>
      <c r="L130" s="6" t="str">
        <f t="shared" ref="L130" si="44">IF(ISERR(FIND($J$15,G130,1)),"STOP","GO")</f>
        <v>STOP</v>
      </c>
    </row>
    <row r="131" spans="2:12" ht="4.95" customHeight="1" x14ac:dyDescent="0.3">
      <c r="D131" s="43"/>
      <c r="F131" s="41"/>
      <c r="H131" s="41"/>
    </row>
    <row r="132" spans="2:12" x14ac:dyDescent="0.3">
      <c r="C132" s="136" t="e">
        <f>#REF!</f>
        <v>#REF!</v>
      </c>
      <c r="D132" s="43" t="s">
        <v>90</v>
      </c>
      <c r="E132" s="136" t="e">
        <f>#REF!</f>
        <v>#REF!</v>
      </c>
      <c r="F132" s="41" t="s">
        <v>102</v>
      </c>
      <c r="G132" s="136" t="e">
        <f>#REF!</f>
        <v>#REF!</v>
      </c>
      <c r="H132" s="41" t="s">
        <v>114</v>
      </c>
      <c r="J132" s="6" t="str">
        <f t="shared" ref="J132" si="45">IF(ISERR(FIND($J$15,C132,1)),"STOP","GO")</f>
        <v>STOP</v>
      </c>
      <c r="K132" s="6" t="str">
        <f t="shared" ref="K132" si="46">IF(ISERR(FIND($J$15,E132,1)),"STOP","GO")</f>
        <v>STOP</v>
      </c>
      <c r="L132" s="6" t="str">
        <f t="shared" ref="L132" si="47">IF(ISERR(FIND($J$15,G132,1)),"STOP","GO")</f>
        <v>STOP</v>
      </c>
    </row>
    <row r="133" spans="2:12" ht="4.95" customHeight="1" x14ac:dyDescent="0.3">
      <c r="D133" s="43"/>
      <c r="F133" s="41"/>
      <c r="H133" s="41"/>
    </row>
    <row r="134" spans="2:12" x14ac:dyDescent="0.3">
      <c r="C134" s="136" t="e">
        <f>#REF!</f>
        <v>#REF!</v>
      </c>
      <c r="D134" s="43" t="s">
        <v>91</v>
      </c>
      <c r="E134" s="136" t="e">
        <f>#REF!</f>
        <v>#REF!</v>
      </c>
      <c r="F134" s="41" t="s">
        <v>103</v>
      </c>
      <c r="G134" s="136" t="e">
        <f>#REF!</f>
        <v>#REF!</v>
      </c>
      <c r="H134" s="41" t="s">
        <v>115</v>
      </c>
      <c r="J134" s="6" t="str">
        <f t="shared" ref="J134" si="48">IF(ISERR(FIND($J$15,C134,1)),"STOP","GO")</f>
        <v>STOP</v>
      </c>
      <c r="K134" s="6" t="str">
        <f t="shared" ref="K134" si="49">IF(ISERR(FIND($J$15,E134,1)),"STOP","GO")</f>
        <v>STOP</v>
      </c>
      <c r="L134" s="6" t="str">
        <f t="shared" ref="L134" si="50">IF(ISERR(FIND($J$15,G134,1)),"STOP","GO")</f>
        <v>STOP</v>
      </c>
    </row>
    <row r="135" spans="2:12" ht="4.95" customHeight="1" x14ac:dyDescent="0.3">
      <c r="C135" s="42"/>
      <c r="D135" s="43"/>
      <c r="E135" s="42"/>
      <c r="F135" s="41"/>
      <c r="G135" s="42"/>
      <c r="H135" s="41"/>
    </row>
    <row r="136" spans="2:12" x14ac:dyDescent="0.3">
      <c r="C136" s="136" t="e">
        <f>#REF!</f>
        <v>#REF!</v>
      </c>
      <c r="D136" s="43" t="s">
        <v>92</v>
      </c>
      <c r="E136" s="136" t="e">
        <f>#REF!</f>
        <v>#REF!</v>
      </c>
      <c r="F136" s="41" t="s">
        <v>104</v>
      </c>
      <c r="G136" s="136" t="e">
        <f>#REF!</f>
        <v>#REF!</v>
      </c>
      <c r="H136" s="41" t="s">
        <v>116</v>
      </c>
      <c r="J136" s="6" t="str">
        <f t="shared" ref="J136" si="51">IF(ISERR(FIND($J$15,C136,1)),"STOP","GO")</f>
        <v>STOP</v>
      </c>
      <c r="K136" s="6" t="str">
        <f t="shared" ref="K136" si="52">IF(ISERR(FIND($J$15,E136,1)),"STOP","GO")</f>
        <v>STOP</v>
      </c>
      <c r="L136" s="6" t="str">
        <f t="shared" ref="L136" si="53">IF(ISERR(FIND($J$15,G136,1)),"STOP","GO")</f>
        <v>STOP</v>
      </c>
    </row>
    <row r="137" spans="2:12" ht="4.95" customHeight="1" x14ac:dyDescent="0.3">
      <c r="D137" s="43"/>
      <c r="F137" s="41"/>
      <c r="H137" s="41"/>
    </row>
    <row r="138" spans="2:12" x14ac:dyDescent="0.3">
      <c r="C138" s="136" t="e">
        <f>#REF!</f>
        <v>#REF!</v>
      </c>
      <c r="D138" s="43" t="s">
        <v>93</v>
      </c>
      <c r="E138" s="136" t="e">
        <f>#REF!</f>
        <v>#REF!</v>
      </c>
      <c r="F138" s="41" t="s">
        <v>105</v>
      </c>
      <c r="G138" s="136" t="e">
        <f>#REF!</f>
        <v>#REF!</v>
      </c>
      <c r="H138" s="41" t="s">
        <v>117</v>
      </c>
      <c r="J138" s="6" t="str">
        <f t="shared" ref="J138" si="54">IF(ISERR(FIND($J$15,C138,1)),"STOP","GO")</f>
        <v>STOP</v>
      </c>
      <c r="K138" s="6" t="str">
        <f t="shared" ref="K138" si="55">IF(ISERR(FIND($J$15,E138,1)),"STOP","GO")</f>
        <v>STOP</v>
      </c>
      <c r="L138" s="6" t="str">
        <f t="shared" ref="L138" si="56">IF(ISERR(FIND($J$15,G138,1)),"STOP","GO")</f>
        <v>STOP</v>
      </c>
    </row>
    <row r="139" spans="2:12" ht="4.95" customHeight="1" x14ac:dyDescent="0.3">
      <c r="C139" s="30"/>
      <c r="D139" s="34"/>
      <c r="E139" s="36"/>
      <c r="F139" s="30"/>
    </row>
    <row r="140" spans="2:12" ht="4.95" customHeight="1" x14ac:dyDescent="0.3">
      <c r="C140" s="143"/>
      <c r="D140" s="143"/>
      <c r="E140" s="143"/>
      <c r="F140" s="143"/>
      <c r="G140" s="143"/>
      <c r="H140" s="143"/>
    </row>
    <row r="141" spans="2:12" s="18" customFormat="1" ht="4.95" customHeight="1" x14ac:dyDescent="0.3">
      <c r="B141" s="101"/>
      <c r="D141" s="40"/>
      <c r="E141" s="23"/>
      <c r="F141" s="24"/>
    </row>
    <row r="142" spans="2:12" x14ac:dyDescent="0.3">
      <c r="C142" s="142" t="e">
        <f>#REF!</f>
        <v>#REF!</v>
      </c>
      <c r="D142" s="34" t="s">
        <v>118</v>
      </c>
      <c r="E142" s="36"/>
      <c r="F142" s="30"/>
      <c r="J142" s="145" t="str">
        <f>IF(COUNTIF(J146:J152,"GO")&gt;0,"","STOP")</f>
        <v>STOP</v>
      </c>
    </row>
    <row r="143" spans="2:12" ht="4.95" customHeight="1" x14ac:dyDescent="0.3">
      <c r="C143" s="30"/>
      <c r="D143" s="34"/>
      <c r="E143" s="36"/>
      <c r="F143" s="30"/>
    </row>
    <row r="144" spans="2:12" ht="4.95" customHeight="1" x14ac:dyDescent="0.3">
      <c r="C144" s="143"/>
      <c r="D144" s="143"/>
      <c r="E144" s="143"/>
      <c r="F144" s="143"/>
      <c r="G144" s="143"/>
      <c r="H144" s="143"/>
    </row>
    <row r="145" spans="2:13" s="18" customFormat="1" ht="4.95" customHeight="1" x14ac:dyDescent="0.3">
      <c r="B145" s="101"/>
      <c r="D145" s="40"/>
      <c r="E145" s="23"/>
      <c r="F145" s="24"/>
    </row>
    <row r="146" spans="2:13" x14ac:dyDescent="0.3">
      <c r="C146" s="136" t="e">
        <f>#REF!</f>
        <v>#REF!</v>
      </c>
      <c r="D146" s="44" t="s">
        <v>122</v>
      </c>
      <c r="E146" s="45"/>
      <c r="F146" s="30"/>
      <c r="J146" s="6" t="str">
        <f t="shared" ref="J146" si="57">IF(ISERR(FIND($J$15,C146,1)),"STOP","GO")</f>
        <v>STOP</v>
      </c>
    </row>
    <row r="147" spans="2:13" ht="4.95" customHeight="1" x14ac:dyDescent="0.3">
      <c r="D147" s="44"/>
      <c r="E147" s="45"/>
      <c r="F147" s="30"/>
    </row>
    <row r="148" spans="2:13" x14ac:dyDescent="0.3">
      <c r="C148" s="136" t="e">
        <f>#REF!</f>
        <v>#REF!</v>
      </c>
      <c r="D148" s="26" t="s">
        <v>119</v>
      </c>
      <c r="E148" s="46"/>
      <c r="F148" s="30"/>
      <c r="J148" s="6" t="str">
        <f t="shared" ref="J148" si="58">IF(ISERR(FIND($J$15,C148,1)),"STOP","GO")</f>
        <v>STOP</v>
      </c>
    </row>
    <row r="149" spans="2:13" ht="4.95" customHeight="1" x14ac:dyDescent="0.3">
      <c r="C149" s="42"/>
      <c r="D149" s="26"/>
      <c r="E149" s="46"/>
      <c r="F149" s="30"/>
    </row>
    <row r="150" spans="2:13" x14ac:dyDescent="0.3">
      <c r="C150" s="136" t="e">
        <f>#REF!</f>
        <v>#REF!</v>
      </c>
      <c r="D150" s="26" t="s">
        <v>120</v>
      </c>
      <c r="E150" s="46"/>
      <c r="F150" s="30"/>
      <c r="J150" s="6" t="str">
        <f t="shared" ref="J150" si="59">IF(ISERR(FIND($J$15,C150,1)),"STOP","GO")</f>
        <v>STOP</v>
      </c>
    </row>
    <row r="151" spans="2:13" ht="4.95" customHeight="1" x14ac:dyDescent="0.3">
      <c r="D151" s="26"/>
      <c r="E151" s="46"/>
      <c r="F151" s="30"/>
    </row>
    <row r="152" spans="2:13" x14ac:dyDescent="0.3">
      <c r="C152" s="136" t="e">
        <f>#REF!</f>
        <v>#REF!</v>
      </c>
      <c r="D152" s="26" t="s">
        <v>121</v>
      </c>
      <c r="E152" s="46"/>
      <c r="F152" s="30"/>
      <c r="J152" s="6" t="str">
        <f t="shared" ref="J152" si="60">IF(ISERR(FIND($J$15,C152,1)),"STOP","GO")</f>
        <v>STOP</v>
      </c>
    </row>
    <row r="153" spans="2:13" collapsed="1" x14ac:dyDescent="0.3"/>
    <row r="154" spans="2:13" x14ac:dyDescent="0.3">
      <c r="B154" s="97" t="s">
        <v>123</v>
      </c>
      <c r="C154" s="8"/>
      <c r="D154" s="137" t="e">
        <f>IF(ISBLANK(#REF!),"",#REF!)</f>
        <v>#REF!</v>
      </c>
      <c r="E154" s="47"/>
      <c r="J154" s="146" t="str">
        <f>IF(ISBLANK(D154),"STOP","")</f>
        <v/>
      </c>
      <c r="M154" s="6" t="str">
        <f>J154</f>
        <v/>
      </c>
    </row>
    <row r="155" spans="2:13" x14ac:dyDescent="0.3">
      <c r="E155" s="12"/>
    </row>
    <row r="156" spans="2:13" x14ac:dyDescent="0.3">
      <c r="B156" s="97" t="s">
        <v>124</v>
      </c>
      <c r="C156" s="8"/>
      <c r="D156" s="138" t="e">
        <f>IF(ISBLANK(#REF!),"",#REF!)</f>
        <v>#REF!</v>
      </c>
      <c r="E156" s="48"/>
      <c r="J156" s="146" t="str">
        <f>IF(ISBLANK(D156),"STOP","")</f>
        <v/>
      </c>
      <c r="M156" s="6" t="str">
        <f>J156</f>
        <v/>
      </c>
    </row>
    <row r="157" spans="2:13" x14ac:dyDescent="0.3">
      <c r="E157" s="12"/>
    </row>
    <row r="158" spans="2:13" x14ac:dyDescent="0.3">
      <c r="B158" s="102" t="s">
        <v>125</v>
      </c>
      <c r="C158" s="49"/>
      <c r="D158" s="138" t="e">
        <f>IF(ISBLANK(#REF!),"",#REF!)</f>
        <v>#REF!</v>
      </c>
      <c r="E158" s="48"/>
      <c r="J158" s="146" t="str">
        <f>IF(ISBLANK(D158),"STOP","")</f>
        <v/>
      </c>
      <c r="M158" s="6" t="str">
        <f>J158</f>
        <v/>
      </c>
    </row>
    <row r="159" spans="2:13" x14ac:dyDescent="0.3">
      <c r="E159" s="12"/>
    </row>
    <row r="160" spans="2:13" x14ac:dyDescent="0.3">
      <c r="B160" s="102" t="s">
        <v>126</v>
      </c>
      <c r="C160" s="49"/>
      <c r="D160" s="136" t="e">
        <f>#REF!</f>
        <v>#REF!</v>
      </c>
      <c r="E160" s="12"/>
    </row>
    <row r="162" spans="2:13" x14ac:dyDescent="0.3">
      <c r="B162" s="102" t="s">
        <v>127</v>
      </c>
      <c r="C162" s="49"/>
      <c r="D162" s="15" t="s">
        <v>385</v>
      </c>
      <c r="E162" s="15"/>
    </row>
    <row r="164" spans="2:13" x14ac:dyDescent="0.3">
      <c r="C164" s="136" t="e">
        <f>#REF!</f>
        <v>#REF!</v>
      </c>
      <c r="D164" s="17" t="s">
        <v>355</v>
      </c>
      <c r="E164" s="17"/>
    </row>
    <row r="165" spans="2:13" ht="4.95" customHeight="1" x14ac:dyDescent="0.3">
      <c r="D165" s="17"/>
      <c r="E165" s="17"/>
    </row>
    <row r="166" spans="2:13" x14ac:dyDescent="0.3">
      <c r="C166" s="136" t="e">
        <f>#REF!</f>
        <v>#REF!</v>
      </c>
      <c r="D166" s="17" t="s">
        <v>356</v>
      </c>
      <c r="E166" s="17"/>
    </row>
    <row r="167" spans="2:13" ht="4.95" customHeight="1" x14ac:dyDescent="0.3">
      <c r="D167" s="17"/>
      <c r="E167" s="17"/>
    </row>
    <row r="168" spans="2:13" x14ac:dyDescent="0.3">
      <c r="C168" s="136" t="e">
        <f>#REF!</f>
        <v>#REF!</v>
      </c>
      <c r="D168" s="17" t="s">
        <v>357</v>
      </c>
      <c r="E168" s="17"/>
    </row>
    <row r="169" spans="2:13" ht="4.95" customHeight="1" x14ac:dyDescent="0.3">
      <c r="D169" s="17"/>
      <c r="E169" s="17"/>
    </row>
    <row r="170" spans="2:13" x14ac:dyDescent="0.3">
      <c r="C170" s="136" t="e">
        <f>#REF!</f>
        <v>#REF!</v>
      </c>
      <c r="D170" s="17" t="s">
        <v>155</v>
      </c>
      <c r="E170" s="17"/>
    </row>
    <row r="172" spans="2:13" x14ac:dyDescent="0.3">
      <c r="B172" s="103" t="s">
        <v>128</v>
      </c>
      <c r="C172" s="50"/>
      <c r="D172" s="15" t="s">
        <v>386</v>
      </c>
      <c r="E172" s="15"/>
    </row>
    <row r="173" spans="2:13" ht="4.95" customHeight="1" x14ac:dyDescent="0.3">
      <c r="C173" s="30"/>
      <c r="D173" s="34"/>
      <c r="E173" s="36"/>
      <c r="F173" s="30"/>
    </row>
    <row r="174" spans="2:13" ht="4.95" customHeight="1" x14ac:dyDescent="0.3">
      <c r="C174" s="143"/>
      <c r="D174" s="143"/>
      <c r="E174" s="143"/>
      <c r="F174" s="143"/>
      <c r="G174" s="143"/>
      <c r="H174" s="143"/>
    </row>
    <row r="175" spans="2:13" s="18" customFormat="1" ht="4.95" customHeight="1" x14ac:dyDescent="0.3">
      <c r="B175" s="101"/>
      <c r="D175" s="40"/>
      <c r="E175" s="23"/>
      <c r="F175" s="24"/>
    </row>
    <row r="176" spans="2:13" x14ac:dyDescent="0.3">
      <c r="C176" s="142" t="e">
        <f>#REF!</f>
        <v>#REF!</v>
      </c>
      <c r="D176" s="34" t="s">
        <v>361</v>
      </c>
      <c r="E176" s="36"/>
      <c r="F176" s="30"/>
      <c r="J176" s="145" t="str">
        <f>IF(COUNTIF(J180:L196,"GO")&gt;0,"","STOP")</f>
        <v>STOP</v>
      </c>
      <c r="M176" s="6" t="str">
        <f>J176</f>
        <v>STOP</v>
      </c>
    </row>
    <row r="177" spans="2:12" ht="4.95" customHeight="1" x14ac:dyDescent="0.3">
      <c r="C177" s="30"/>
      <c r="D177" s="34"/>
      <c r="E177" s="36"/>
      <c r="F177" s="30"/>
    </row>
    <row r="178" spans="2:12" ht="4.95" customHeight="1" x14ac:dyDescent="0.3">
      <c r="C178" s="143"/>
      <c r="D178" s="143"/>
      <c r="E178" s="143"/>
      <c r="F178" s="143"/>
      <c r="G178" s="143"/>
      <c r="H178" s="143"/>
    </row>
    <row r="179" spans="2:12" s="18" customFormat="1" ht="4.95" customHeight="1" x14ac:dyDescent="0.3">
      <c r="B179" s="101"/>
      <c r="D179" s="40"/>
      <c r="E179" s="23"/>
      <c r="F179" s="24"/>
    </row>
    <row r="180" spans="2:12" x14ac:dyDescent="0.3">
      <c r="C180" s="136" t="e">
        <f>#REF!</f>
        <v>#REF!</v>
      </c>
      <c r="D180" s="43" t="s">
        <v>157</v>
      </c>
      <c r="E180" s="136" t="e">
        <f>#REF!</f>
        <v>#REF!</v>
      </c>
      <c r="F180" s="43" t="s">
        <v>166</v>
      </c>
      <c r="G180" s="136" t="e">
        <f>#REF!</f>
        <v>#REF!</v>
      </c>
      <c r="H180" s="41" t="s">
        <v>175</v>
      </c>
      <c r="J180" s="6" t="str">
        <f t="shared" ref="J180" si="61">IF(ISERR(FIND($J$15,C180,1)),"STOP","GO")</f>
        <v>STOP</v>
      </c>
      <c r="K180" s="6" t="str">
        <f t="shared" ref="K180" si="62">IF(ISERR(FIND($J$15,E180,1)),"STOP","GO")</f>
        <v>STOP</v>
      </c>
      <c r="L180" s="6" t="str">
        <f t="shared" ref="L180" si="63">IF(ISERR(FIND($J$15,G180,1)),"STOP","GO")</f>
        <v>STOP</v>
      </c>
    </row>
    <row r="181" spans="2:12" ht="4.95" customHeight="1" x14ac:dyDescent="0.3">
      <c r="D181" s="43"/>
      <c r="F181" s="43"/>
      <c r="H181" s="41"/>
    </row>
    <row r="182" spans="2:12" x14ac:dyDescent="0.3">
      <c r="C182" s="136" t="e">
        <f>#REF!</f>
        <v>#REF!</v>
      </c>
      <c r="D182" s="43" t="s">
        <v>158</v>
      </c>
      <c r="E182" s="136" t="e">
        <f>#REF!</f>
        <v>#REF!</v>
      </c>
      <c r="F182" s="43" t="s">
        <v>167</v>
      </c>
      <c r="G182" s="136" t="e">
        <f>#REF!</f>
        <v>#REF!</v>
      </c>
      <c r="H182" s="41" t="s">
        <v>176</v>
      </c>
      <c r="J182" s="6" t="str">
        <f>IF(ISERR(FIND($J$15,C182,1)),"STOP","GO")</f>
        <v>STOP</v>
      </c>
      <c r="K182" s="6" t="str">
        <f t="shared" ref="K182" si="64">IF(ISERR(FIND($J$15,E182,1)),"STOP","GO")</f>
        <v>STOP</v>
      </c>
      <c r="L182" s="6" t="str">
        <f t="shared" ref="L182" si="65">IF(ISERR(FIND($J$15,G182,1)),"STOP","GO")</f>
        <v>STOP</v>
      </c>
    </row>
    <row r="183" spans="2:12" ht="4.95" customHeight="1" x14ac:dyDescent="0.3">
      <c r="D183" s="43"/>
      <c r="F183" s="43"/>
      <c r="H183" s="41"/>
    </row>
    <row r="184" spans="2:12" x14ac:dyDescent="0.3">
      <c r="C184" s="136" t="e">
        <f>#REF!</f>
        <v>#REF!</v>
      </c>
      <c r="D184" s="43" t="s">
        <v>159</v>
      </c>
      <c r="E184" s="136" t="e">
        <f>#REF!</f>
        <v>#REF!</v>
      </c>
      <c r="F184" s="43" t="s">
        <v>168</v>
      </c>
      <c r="G184" s="136" t="e">
        <f>#REF!</f>
        <v>#REF!</v>
      </c>
      <c r="H184" s="41" t="s">
        <v>177</v>
      </c>
      <c r="J184" s="6" t="str">
        <f t="shared" ref="J184" si="66">IF(ISERR(FIND($J$15,C184,1)),"STOP","GO")</f>
        <v>STOP</v>
      </c>
      <c r="K184" s="6" t="str">
        <f t="shared" ref="K184" si="67">IF(ISERR(FIND($J$15,E184,1)),"STOP","GO")</f>
        <v>STOP</v>
      </c>
      <c r="L184" s="6" t="str">
        <f t="shared" ref="L184" si="68">IF(ISERR(FIND($J$15,G184,1)),"STOP","GO")</f>
        <v>STOP</v>
      </c>
    </row>
    <row r="185" spans="2:12" ht="4.95" customHeight="1" x14ac:dyDescent="0.3">
      <c r="C185" s="42"/>
      <c r="D185" s="43"/>
      <c r="E185" s="42"/>
      <c r="F185" s="43"/>
      <c r="G185" s="42"/>
      <c r="H185" s="41"/>
    </row>
    <row r="186" spans="2:12" x14ac:dyDescent="0.3">
      <c r="C186" s="136" t="e">
        <f>#REF!</f>
        <v>#REF!</v>
      </c>
      <c r="D186" s="43" t="s">
        <v>160</v>
      </c>
      <c r="E186" s="136" t="e">
        <f>#REF!</f>
        <v>#REF!</v>
      </c>
      <c r="F186" s="43" t="s">
        <v>169</v>
      </c>
      <c r="G186" s="136" t="e">
        <f>#REF!</f>
        <v>#REF!</v>
      </c>
      <c r="H186" s="41" t="s">
        <v>178</v>
      </c>
      <c r="J186" s="6" t="str">
        <f t="shared" ref="J186" si="69">IF(ISERR(FIND($J$15,C186,1)),"STOP","GO")</f>
        <v>STOP</v>
      </c>
      <c r="K186" s="6" t="str">
        <f t="shared" ref="K186" si="70">IF(ISERR(FIND($J$15,E186,1)),"STOP","GO")</f>
        <v>STOP</v>
      </c>
      <c r="L186" s="6" t="str">
        <f t="shared" ref="L186" si="71">IF(ISERR(FIND($J$15,G186,1)),"STOP","GO")</f>
        <v>STOP</v>
      </c>
    </row>
    <row r="187" spans="2:12" ht="4.95" customHeight="1" x14ac:dyDescent="0.3">
      <c r="D187" s="43"/>
      <c r="F187" s="43"/>
      <c r="H187" s="41"/>
    </row>
    <row r="188" spans="2:12" x14ac:dyDescent="0.3">
      <c r="C188" s="136" t="e">
        <f>#REF!</f>
        <v>#REF!</v>
      </c>
      <c r="D188" s="43" t="s">
        <v>161</v>
      </c>
      <c r="E188" s="136" t="e">
        <f>#REF!</f>
        <v>#REF!</v>
      </c>
      <c r="F188" s="43" t="s">
        <v>170</v>
      </c>
      <c r="G188" s="136" t="e">
        <f>#REF!</f>
        <v>#REF!</v>
      </c>
      <c r="H188" s="41" t="s">
        <v>179</v>
      </c>
      <c r="J188" s="6" t="str">
        <f t="shared" ref="J188" si="72">IF(ISERR(FIND($J$15,C188,1)),"STOP","GO")</f>
        <v>STOP</v>
      </c>
      <c r="K188" s="6" t="str">
        <f t="shared" ref="K188" si="73">IF(ISERR(FIND($J$15,E188,1)),"STOP","GO")</f>
        <v>STOP</v>
      </c>
      <c r="L188" s="6" t="str">
        <f t="shared" ref="L188" si="74">IF(ISERR(FIND($J$15,G188,1)),"STOP","GO")</f>
        <v>STOP</v>
      </c>
    </row>
    <row r="189" spans="2:12" ht="4.95" customHeight="1" x14ac:dyDescent="0.3">
      <c r="D189" s="43"/>
      <c r="F189" s="43"/>
      <c r="H189" s="41"/>
    </row>
    <row r="190" spans="2:12" x14ac:dyDescent="0.3">
      <c r="C190" s="136" t="e">
        <f>#REF!</f>
        <v>#REF!</v>
      </c>
      <c r="D190" s="43" t="s">
        <v>162</v>
      </c>
      <c r="E190" s="136" t="e">
        <f>#REF!</f>
        <v>#REF!</v>
      </c>
      <c r="F190" s="43" t="s">
        <v>171</v>
      </c>
      <c r="G190" s="136" t="e">
        <f>#REF!</f>
        <v>#REF!</v>
      </c>
      <c r="H190" s="41" t="s">
        <v>180</v>
      </c>
      <c r="J190" s="6" t="str">
        <f t="shared" ref="J190" si="75">IF(ISERR(FIND($J$15,C190,1)),"STOP","GO")</f>
        <v>STOP</v>
      </c>
      <c r="K190" s="6" t="str">
        <f t="shared" ref="K190" si="76">IF(ISERR(FIND($J$15,E190,1)),"STOP","GO")</f>
        <v>STOP</v>
      </c>
      <c r="L190" s="6" t="str">
        <f t="shared" ref="L190" si="77">IF(ISERR(FIND($J$15,G190,1)),"STOP","GO")</f>
        <v>STOP</v>
      </c>
    </row>
    <row r="191" spans="2:12" ht="4.95" customHeight="1" x14ac:dyDescent="0.3">
      <c r="D191" s="43"/>
      <c r="F191" s="43"/>
      <c r="H191" s="41"/>
    </row>
    <row r="192" spans="2:12" x14ac:dyDescent="0.3">
      <c r="C192" s="136" t="e">
        <f>#REF!</f>
        <v>#REF!</v>
      </c>
      <c r="D192" s="43" t="s">
        <v>163</v>
      </c>
      <c r="E192" s="136" t="e">
        <f>#REF!</f>
        <v>#REF!</v>
      </c>
      <c r="F192" s="43" t="s">
        <v>172</v>
      </c>
      <c r="G192" s="136" t="e">
        <f>#REF!</f>
        <v>#REF!</v>
      </c>
      <c r="H192" s="41" t="s">
        <v>181</v>
      </c>
      <c r="J192" s="6" t="str">
        <f>IF(ISERR(FIND($J$15,C192,1)),"STOP","GO")</f>
        <v>STOP</v>
      </c>
      <c r="K192" s="6" t="str">
        <f t="shared" ref="K192" si="78">IF(ISERR(FIND($J$15,E192,1)),"STOP","GO")</f>
        <v>STOP</v>
      </c>
      <c r="L192" s="6" t="str">
        <f t="shared" ref="L192" si="79">IF(ISERR(FIND($J$15,G192,1)),"STOP","GO")</f>
        <v>STOP</v>
      </c>
    </row>
    <row r="193" spans="2:12" ht="4.95" customHeight="1" x14ac:dyDescent="0.3">
      <c r="D193" s="43"/>
      <c r="F193" s="43"/>
      <c r="H193" s="41"/>
    </row>
    <row r="194" spans="2:12" x14ac:dyDescent="0.3">
      <c r="C194" s="136" t="e">
        <f>#REF!</f>
        <v>#REF!</v>
      </c>
      <c r="D194" s="43" t="s">
        <v>164</v>
      </c>
      <c r="E194" s="136" t="e">
        <f>#REF!</f>
        <v>#REF!</v>
      </c>
      <c r="F194" s="43" t="s">
        <v>173</v>
      </c>
      <c r="G194" s="136" t="e">
        <f>#REF!</f>
        <v>#REF!</v>
      </c>
      <c r="H194" s="41" t="s">
        <v>182</v>
      </c>
      <c r="J194" s="6" t="str">
        <f t="shared" ref="J194" si="80">IF(ISERR(FIND($J$15,C194,1)),"STOP","GO")</f>
        <v>STOP</v>
      </c>
      <c r="K194" s="6" t="str">
        <f t="shared" ref="K194" si="81">IF(ISERR(FIND($J$15,E194,1)),"STOP","GO")</f>
        <v>STOP</v>
      </c>
      <c r="L194" s="6" t="str">
        <f t="shared" ref="L194" si="82">IF(ISERR(FIND($J$15,G194,1)),"STOP","GO")</f>
        <v>STOP</v>
      </c>
    </row>
    <row r="195" spans="2:12" ht="4.95" customHeight="1" x14ac:dyDescent="0.3">
      <c r="D195" s="43"/>
      <c r="F195" s="43"/>
      <c r="H195" s="41"/>
    </row>
    <row r="196" spans="2:12" x14ac:dyDescent="0.3">
      <c r="C196" s="136" t="e">
        <f>#REF!</f>
        <v>#REF!</v>
      </c>
      <c r="D196" s="43" t="s">
        <v>165</v>
      </c>
      <c r="E196" s="136" t="e">
        <f>#REF!</f>
        <v>#REF!</v>
      </c>
      <c r="F196" s="43" t="s">
        <v>174</v>
      </c>
      <c r="G196" s="30"/>
      <c r="H196" s="41"/>
      <c r="J196" s="6" t="str">
        <f t="shared" ref="J196" si="83">IF(ISERR(FIND($J$15,C196,1)),"STOP","GO")</f>
        <v>STOP</v>
      </c>
      <c r="K196" s="6" t="str">
        <f t="shared" ref="K196" si="84">IF(ISERR(FIND($J$15,E196,1)),"STOP","GO")</f>
        <v>STOP</v>
      </c>
      <c r="L196" s="6" t="str">
        <f t="shared" ref="L196" si="85">IF(ISERR(FIND($J$15,G196,1)),"STOP","GO")</f>
        <v>STOP</v>
      </c>
    </row>
    <row r="198" spans="2:12" x14ac:dyDescent="0.3">
      <c r="B198" s="102" t="s">
        <v>340</v>
      </c>
      <c r="C198" s="49"/>
      <c r="D198" s="15"/>
      <c r="E198" s="15"/>
    </row>
    <row r="200" spans="2:12" x14ac:dyDescent="0.3">
      <c r="C200" s="136" t="e">
        <f>#REF!</f>
        <v>#REF!</v>
      </c>
      <c r="D200" s="17" t="s">
        <v>184</v>
      </c>
      <c r="E200" s="17"/>
    </row>
    <row r="201" spans="2:12" ht="4.95" customHeight="1" x14ac:dyDescent="0.3">
      <c r="D201" s="17"/>
      <c r="E201" s="17"/>
    </row>
    <row r="202" spans="2:12" x14ac:dyDescent="0.3">
      <c r="C202" s="136" t="e">
        <f>#REF!</f>
        <v>#REF!</v>
      </c>
      <c r="D202" s="17">
        <v>2</v>
      </c>
      <c r="E202" s="17"/>
    </row>
    <row r="203" spans="2:12" ht="4.95" customHeight="1" x14ac:dyDescent="0.3">
      <c r="D203" s="17"/>
      <c r="E203" s="17"/>
    </row>
    <row r="204" spans="2:12" x14ac:dyDescent="0.3">
      <c r="C204" s="136" t="e">
        <f>#REF!</f>
        <v>#REF!</v>
      </c>
      <c r="D204" s="17">
        <v>3</v>
      </c>
      <c r="E204" s="17"/>
    </row>
    <row r="205" spans="2:12" ht="4.95" customHeight="1" x14ac:dyDescent="0.3">
      <c r="D205" s="17"/>
      <c r="E205" s="17"/>
    </row>
    <row r="206" spans="2:12" x14ac:dyDescent="0.3">
      <c r="C206" s="136" t="e">
        <f>#REF!</f>
        <v>#REF!</v>
      </c>
      <c r="D206" s="17">
        <v>4</v>
      </c>
      <c r="E206" s="17"/>
    </row>
    <row r="207" spans="2:12" ht="4.95" customHeight="1" x14ac:dyDescent="0.3">
      <c r="D207" s="17"/>
      <c r="E207" s="17"/>
    </row>
    <row r="208" spans="2:12" x14ac:dyDescent="0.3">
      <c r="C208" s="136" t="e">
        <f>#REF!</f>
        <v>#REF!</v>
      </c>
      <c r="D208" s="17" t="s">
        <v>186</v>
      </c>
      <c r="E208" s="17"/>
    </row>
    <row r="210" spans="2:13" x14ac:dyDescent="0.3">
      <c r="B210" s="102" t="s">
        <v>129</v>
      </c>
      <c r="C210" s="49"/>
      <c r="D210" s="15" t="s">
        <v>362</v>
      </c>
    </row>
    <row r="211" spans="2:13" ht="4.95" customHeight="1" x14ac:dyDescent="0.3">
      <c r="C211" s="30"/>
      <c r="D211" s="34"/>
      <c r="E211" s="36"/>
      <c r="F211" s="30"/>
    </row>
    <row r="212" spans="2:13" ht="4.95" customHeight="1" x14ac:dyDescent="0.3">
      <c r="C212" s="143"/>
      <c r="D212" s="143"/>
      <c r="E212" s="143"/>
      <c r="F212" s="143"/>
      <c r="G212" s="143"/>
      <c r="H212" s="143"/>
    </row>
    <row r="213" spans="2:13" s="18" customFormat="1" ht="4.95" customHeight="1" x14ac:dyDescent="0.3">
      <c r="B213" s="101"/>
      <c r="D213" s="40"/>
      <c r="E213" s="23"/>
      <c r="F213" s="24"/>
    </row>
    <row r="214" spans="2:13" x14ac:dyDescent="0.3">
      <c r="C214" s="142" t="e">
        <f>#REF!</f>
        <v>#REF!</v>
      </c>
      <c r="D214" s="34" t="s">
        <v>361</v>
      </c>
      <c r="E214" s="36"/>
      <c r="F214" s="30"/>
      <c r="J214" s="145" t="str">
        <f>IF(COUNTIF(J218:L228,"GO")&gt;0,"","STOP")</f>
        <v>STOP</v>
      </c>
      <c r="M214" s="6" t="str">
        <f>J214</f>
        <v>STOP</v>
      </c>
    </row>
    <row r="215" spans="2:13" ht="4.95" customHeight="1" x14ac:dyDescent="0.3">
      <c r="C215" s="30"/>
      <c r="D215" s="34"/>
      <c r="E215" s="36"/>
      <c r="F215" s="30"/>
    </row>
    <row r="216" spans="2:13" ht="4.95" customHeight="1" x14ac:dyDescent="0.3">
      <c r="C216" s="143"/>
      <c r="D216" s="143"/>
      <c r="E216" s="143"/>
      <c r="F216" s="143"/>
      <c r="G216" s="143"/>
      <c r="H216" s="143"/>
    </row>
    <row r="217" spans="2:13" s="18" customFormat="1" ht="4.95" customHeight="1" x14ac:dyDescent="0.3">
      <c r="B217" s="101"/>
      <c r="D217" s="40"/>
      <c r="E217" s="23"/>
      <c r="F217" s="24"/>
    </row>
    <row r="218" spans="2:13" x14ac:dyDescent="0.3">
      <c r="C218" s="136" t="e">
        <f>#REF!</f>
        <v>#REF!</v>
      </c>
      <c r="D218" s="43" t="s">
        <v>187</v>
      </c>
      <c r="E218" s="136" t="e">
        <f>#REF!</f>
        <v>#REF!</v>
      </c>
      <c r="F218" s="43" t="s">
        <v>363</v>
      </c>
      <c r="G218" s="136" t="e">
        <f>#REF!</f>
        <v>#REF!</v>
      </c>
      <c r="H218" s="41" t="s">
        <v>193</v>
      </c>
      <c r="J218" s="6" t="str">
        <f t="shared" ref="J218" si="86">IF(ISERR(FIND($J$15,C218,1)),"STOP","GO")</f>
        <v>STOP</v>
      </c>
      <c r="K218" s="6" t="str">
        <f t="shared" ref="K218" si="87">IF(ISERR(FIND($J$15,E218,1)),"STOP","GO")</f>
        <v>STOP</v>
      </c>
      <c r="L218" s="6" t="str">
        <f t="shared" ref="L218" si="88">IF(ISERR(FIND($J$15,G218,1)),"STOP","GO")</f>
        <v>STOP</v>
      </c>
    </row>
    <row r="219" spans="2:13" ht="4.95" customHeight="1" x14ac:dyDescent="0.3">
      <c r="D219" s="43"/>
      <c r="F219" s="43" t="s">
        <v>364</v>
      </c>
      <c r="H219" s="41"/>
    </row>
    <row r="220" spans="2:13" x14ac:dyDescent="0.3">
      <c r="C220" s="136" t="e">
        <f>#REF!</f>
        <v>#REF!</v>
      </c>
      <c r="D220" s="43" t="s">
        <v>188</v>
      </c>
      <c r="E220" s="136" t="e">
        <f>#REF!</f>
        <v>#REF!</v>
      </c>
      <c r="F220" s="43" t="s">
        <v>190</v>
      </c>
      <c r="G220" s="136" t="e">
        <f>#REF!</f>
        <v>#REF!</v>
      </c>
      <c r="H220" s="41" t="s">
        <v>351</v>
      </c>
      <c r="J220" s="6" t="str">
        <f>IF(ISERR(FIND($J$15,C220,1)),"STOP","GO")</f>
        <v>STOP</v>
      </c>
      <c r="K220" s="6" t="str">
        <f t="shared" ref="K220" si="89">IF(ISERR(FIND($J$15,E220,1)),"STOP","GO")</f>
        <v>STOP</v>
      </c>
      <c r="L220" s="6" t="str">
        <f t="shared" ref="L220" si="90">IF(ISERR(FIND($J$15,G220,1)),"STOP","GO")</f>
        <v>STOP</v>
      </c>
    </row>
    <row r="221" spans="2:13" ht="4.95" customHeight="1" x14ac:dyDescent="0.3">
      <c r="D221" s="43"/>
      <c r="F221" s="43"/>
      <c r="H221" s="41"/>
    </row>
    <row r="222" spans="2:13" x14ac:dyDescent="0.3">
      <c r="C222" s="136" t="e">
        <f>#REF!</f>
        <v>#REF!</v>
      </c>
      <c r="D222" s="43" t="s">
        <v>345</v>
      </c>
      <c r="E222" s="136" t="e">
        <f>#REF!</f>
        <v>#REF!</v>
      </c>
      <c r="F222" s="43" t="s">
        <v>365</v>
      </c>
      <c r="G222" s="136" t="e">
        <f>#REF!</f>
        <v>#REF!</v>
      </c>
      <c r="H222" s="41" t="s">
        <v>367</v>
      </c>
      <c r="J222" s="6" t="str">
        <f t="shared" ref="J222" si="91">IF(ISERR(FIND($J$15,C222,1)),"STOP","GO")</f>
        <v>STOP</v>
      </c>
      <c r="K222" s="6" t="str">
        <f t="shared" ref="K222" si="92">IF(ISERR(FIND($J$15,E222,1)),"STOP","GO")</f>
        <v>STOP</v>
      </c>
      <c r="L222" s="6" t="str">
        <f t="shared" ref="L222" si="93">IF(ISERR(FIND($J$15,G222,1)),"STOP","GO")</f>
        <v>STOP</v>
      </c>
    </row>
    <row r="223" spans="2:13" ht="4.95" customHeight="1" x14ac:dyDescent="0.3">
      <c r="C223" s="42"/>
      <c r="D223" s="43"/>
      <c r="E223" s="42"/>
      <c r="F223" s="43" t="s">
        <v>364</v>
      </c>
      <c r="G223" s="42"/>
      <c r="H223" s="41"/>
    </row>
    <row r="224" spans="2:13" x14ac:dyDescent="0.3">
      <c r="C224" s="136" t="e">
        <f>#REF!</f>
        <v>#REF!</v>
      </c>
      <c r="D224" s="43" t="s">
        <v>346</v>
      </c>
      <c r="E224" s="136" t="e">
        <f>#REF!</f>
        <v>#REF!</v>
      </c>
      <c r="F224" s="43" t="s">
        <v>191</v>
      </c>
      <c r="G224" s="136" t="e">
        <f>#REF!</f>
        <v>#REF!</v>
      </c>
      <c r="H224" s="41" t="s">
        <v>194</v>
      </c>
      <c r="J224" s="6" t="str">
        <f>IF(ISERR(FIND($J$15,C224,1)),"STOP","GO")</f>
        <v>STOP</v>
      </c>
      <c r="K224" s="6" t="str">
        <f t="shared" ref="K224" si="94">IF(ISERR(FIND($J$15,E224,1)),"STOP","GO")</f>
        <v>STOP</v>
      </c>
      <c r="L224" s="6" t="str">
        <f t="shared" ref="L224" si="95">IF(ISERR(FIND($J$15,G224,1)),"STOP","GO")</f>
        <v>STOP</v>
      </c>
    </row>
    <row r="225" spans="2:12" ht="4.95" customHeight="1" x14ac:dyDescent="0.3">
      <c r="D225" s="43"/>
      <c r="F225" s="43"/>
      <c r="H225" s="41"/>
    </row>
    <row r="226" spans="2:12" x14ac:dyDescent="0.3">
      <c r="C226" s="136" t="e">
        <f>#REF!</f>
        <v>#REF!</v>
      </c>
      <c r="D226" s="43" t="s">
        <v>189</v>
      </c>
      <c r="E226" s="136" t="e">
        <f>#REF!</f>
        <v>#REF!</v>
      </c>
      <c r="F226" s="43" t="s">
        <v>366</v>
      </c>
      <c r="G226" s="136" t="e">
        <f>#REF!</f>
        <v>#REF!</v>
      </c>
      <c r="H226" s="41" t="s">
        <v>195</v>
      </c>
      <c r="J226" s="6" t="str">
        <f t="shared" ref="J226" si="96">IF(ISERR(FIND($J$15,C226,1)),"STOP","GO")</f>
        <v>STOP</v>
      </c>
      <c r="K226" s="6" t="str">
        <f t="shared" ref="K226" si="97">IF(ISERR(FIND($J$15,E226,1)),"STOP","GO")</f>
        <v>STOP</v>
      </c>
      <c r="L226" s="6" t="str">
        <f t="shared" ref="L226" si="98">IF(ISERR(FIND($J$15,G226,1)),"STOP","GO")</f>
        <v>STOP</v>
      </c>
    </row>
    <row r="227" spans="2:12" ht="4.95" customHeight="1" x14ac:dyDescent="0.3">
      <c r="D227" s="43"/>
      <c r="F227" s="43" t="s">
        <v>364</v>
      </c>
      <c r="H227" s="41"/>
    </row>
    <row r="228" spans="2:12" x14ac:dyDescent="0.3">
      <c r="C228" s="136" t="e">
        <f>#REF!</f>
        <v>#REF!</v>
      </c>
      <c r="D228" s="43" t="s">
        <v>347</v>
      </c>
      <c r="E228" s="136" t="e">
        <f>#REF!</f>
        <v>#REF!</v>
      </c>
      <c r="F228" s="43" t="s">
        <v>192</v>
      </c>
      <c r="G228" s="30"/>
      <c r="H228" s="41"/>
      <c r="J228" s="6" t="str">
        <f>IF(ISERR(FIND($J$15,C228,1)),"STOP","GO")</f>
        <v>STOP</v>
      </c>
      <c r="K228" s="6" t="str">
        <f t="shared" ref="K228" si="99">IF(ISERR(FIND($J$15,E228,1)),"STOP","GO")</f>
        <v>STOP</v>
      </c>
    </row>
    <row r="230" spans="2:12" x14ac:dyDescent="0.3">
      <c r="B230" s="102" t="s">
        <v>130</v>
      </c>
    </row>
    <row r="231" spans="2:12" ht="4.95" customHeight="1" x14ac:dyDescent="0.3">
      <c r="C231" s="30"/>
      <c r="D231" s="34"/>
      <c r="E231" s="36"/>
      <c r="F231" s="30"/>
    </row>
    <row r="232" spans="2:12" ht="4.95" customHeight="1" x14ac:dyDescent="0.3">
      <c r="C232" s="143"/>
      <c r="D232" s="143"/>
      <c r="E232" s="143"/>
      <c r="F232" s="143"/>
      <c r="G232" s="143"/>
      <c r="H232" s="143"/>
    </row>
    <row r="233" spans="2:12" s="18" customFormat="1" ht="4.95" customHeight="1" x14ac:dyDescent="0.3">
      <c r="B233" s="101"/>
      <c r="D233" s="40"/>
      <c r="E233" s="23"/>
      <c r="F233" s="24"/>
    </row>
    <row r="234" spans="2:12" x14ac:dyDescent="0.3">
      <c r="C234" s="142" t="e">
        <f>#REF!</f>
        <v>#REF!</v>
      </c>
      <c r="D234" s="34" t="s">
        <v>361</v>
      </c>
      <c r="E234" s="36"/>
      <c r="F234" s="30"/>
    </row>
    <row r="235" spans="2:12" ht="4.95" customHeight="1" x14ac:dyDescent="0.3">
      <c r="C235" s="30"/>
      <c r="D235" s="34"/>
      <c r="E235" s="36"/>
      <c r="F235" s="30"/>
    </row>
    <row r="236" spans="2:12" ht="4.95" customHeight="1" x14ac:dyDescent="0.3">
      <c r="C236" s="143"/>
      <c r="D236" s="143"/>
      <c r="E236" s="143"/>
      <c r="F236" s="143"/>
      <c r="G236" s="143"/>
      <c r="H236" s="143"/>
    </row>
    <row r="237" spans="2:12" s="18" customFormat="1" ht="4.95" customHeight="1" x14ac:dyDescent="0.3">
      <c r="B237" s="101"/>
      <c r="D237" s="40"/>
      <c r="E237" s="23"/>
      <c r="F237" s="24"/>
    </row>
    <row r="238" spans="2:12" x14ac:dyDescent="0.3">
      <c r="C238" s="136" t="e">
        <f>#REF!</f>
        <v>#REF!</v>
      </c>
      <c r="D238" s="43" t="s">
        <v>197</v>
      </c>
      <c r="E238" s="136" t="e">
        <f>#REF!</f>
        <v>#REF!</v>
      </c>
      <c r="F238" s="43" t="s">
        <v>216</v>
      </c>
      <c r="G238" s="136" t="e">
        <f>#REF!</f>
        <v>#REF!</v>
      </c>
      <c r="H238" s="41" t="s">
        <v>235</v>
      </c>
    </row>
    <row r="239" spans="2:12" ht="4.95" customHeight="1" x14ac:dyDescent="0.3">
      <c r="D239" s="43"/>
      <c r="F239" s="43"/>
      <c r="H239" s="41"/>
    </row>
    <row r="240" spans="2:12" x14ac:dyDescent="0.3">
      <c r="C240" s="136" t="e">
        <f>#REF!</f>
        <v>#REF!</v>
      </c>
      <c r="D240" s="43" t="s">
        <v>198</v>
      </c>
      <c r="E240" s="136" t="e">
        <f>#REF!</f>
        <v>#REF!</v>
      </c>
      <c r="F240" s="43" t="s">
        <v>217</v>
      </c>
      <c r="G240" s="136" t="e">
        <f>#REF!</f>
        <v>#REF!</v>
      </c>
      <c r="H240" s="41" t="s">
        <v>236</v>
      </c>
    </row>
    <row r="241" spans="2:8" ht="4.95" customHeight="1" x14ac:dyDescent="0.3">
      <c r="D241" s="43"/>
      <c r="F241" s="43"/>
      <c r="H241" s="41"/>
    </row>
    <row r="242" spans="2:8" x14ac:dyDescent="0.3">
      <c r="C242" s="136" t="e">
        <f>#REF!</f>
        <v>#REF!</v>
      </c>
      <c r="D242" s="43" t="s">
        <v>199</v>
      </c>
      <c r="E242" s="136" t="e">
        <f>#REF!</f>
        <v>#REF!</v>
      </c>
      <c r="F242" s="43" t="s">
        <v>218</v>
      </c>
      <c r="G242" s="136" t="e">
        <f>#REF!</f>
        <v>#REF!</v>
      </c>
      <c r="H242" s="41" t="s">
        <v>237</v>
      </c>
    </row>
    <row r="243" spans="2:8" ht="4.95" customHeight="1" x14ac:dyDescent="0.3">
      <c r="C243" s="42"/>
      <c r="D243" s="43"/>
      <c r="E243" s="42"/>
      <c r="F243" s="43"/>
      <c r="G243" s="42"/>
      <c r="H243" s="41"/>
    </row>
    <row r="244" spans="2:8" x14ac:dyDescent="0.3">
      <c r="C244" s="136" t="e">
        <f>#REF!</f>
        <v>#REF!</v>
      </c>
      <c r="D244" s="43" t="s">
        <v>200</v>
      </c>
      <c r="E244" s="136" t="e">
        <f>#REF!</f>
        <v>#REF!</v>
      </c>
      <c r="F244" s="43" t="s">
        <v>219</v>
      </c>
      <c r="G244" s="136" t="e">
        <f>#REF!</f>
        <v>#REF!</v>
      </c>
      <c r="H244" s="41" t="s">
        <v>238</v>
      </c>
    </row>
    <row r="245" spans="2:8" ht="4.95" customHeight="1" x14ac:dyDescent="0.3">
      <c r="D245" s="43"/>
      <c r="F245" s="43"/>
      <c r="H245" s="41"/>
    </row>
    <row r="246" spans="2:8" x14ac:dyDescent="0.3">
      <c r="C246" s="136" t="e">
        <f>#REF!</f>
        <v>#REF!</v>
      </c>
      <c r="D246" s="43" t="s">
        <v>201</v>
      </c>
      <c r="E246" s="136" t="e">
        <f>#REF!</f>
        <v>#REF!</v>
      </c>
      <c r="F246" s="43" t="s">
        <v>220</v>
      </c>
      <c r="G246" s="136" t="e">
        <f>#REF!</f>
        <v>#REF!</v>
      </c>
      <c r="H246" s="41" t="s">
        <v>158</v>
      </c>
    </row>
    <row r="247" spans="2:8" s="18" customFormat="1" ht="4.95" customHeight="1" x14ac:dyDescent="0.3">
      <c r="B247" s="101"/>
      <c r="D247" s="40"/>
      <c r="E247" s="23"/>
      <c r="F247" s="24"/>
    </row>
    <row r="248" spans="2:8" x14ac:dyDescent="0.3">
      <c r="C248" s="136" t="e">
        <f>#REF!</f>
        <v>#REF!</v>
      </c>
      <c r="D248" s="43" t="s">
        <v>202</v>
      </c>
      <c r="E248" s="136" t="e">
        <f>#REF!</f>
        <v>#REF!</v>
      </c>
      <c r="F248" s="43" t="s">
        <v>221</v>
      </c>
      <c r="G248" s="136" t="e">
        <f>#REF!</f>
        <v>#REF!</v>
      </c>
      <c r="H248" s="41" t="s">
        <v>239</v>
      </c>
    </row>
    <row r="249" spans="2:8" ht="4.95" customHeight="1" x14ac:dyDescent="0.3">
      <c r="D249" s="43"/>
      <c r="F249" s="43"/>
      <c r="H249" s="41"/>
    </row>
    <row r="250" spans="2:8" x14ac:dyDescent="0.3">
      <c r="C250" s="136" t="e">
        <f>#REF!</f>
        <v>#REF!</v>
      </c>
      <c r="D250" s="43" t="s">
        <v>203</v>
      </c>
      <c r="E250" s="136" t="e">
        <f>#REF!</f>
        <v>#REF!</v>
      </c>
      <c r="F250" s="43" t="s">
        <v>222</v>
      </c>
      <c r="G250" s="136" t="e">
        <f>#REF!</f>
        <v>#REF!</v>
      </c>
      <c r="H250" s="41" t="s">
        <v>240</v>
      </c>
    </row>
    <row r="251" spans="2:8" ht="4.95" customHeight="1" x14ac:dyDescent="0.3">
      <c r="D251" s="43"/>
      <c r="F251" s="43"/>
      <c r="H251" s="41"/>
    </row>
    <row r="252" spans="2:8" x14ac:dyDescent="0.3">
      <c r="C252" s="136" t="e">
        <f>#REF!</f>
        <v>#REF!</v>
      </c>
      <c r="D252" s="43" t="s">
        <v>204</v>
      </c>
      <c r="E252" s="136" t="e">
        <f>#REF!</f>
        <v>#REF!</v>
      </c>
      <c r="F252" s="43" t="s">
        <v>223</v>
      </c>
      <c r="G252" s="136" t="e">
        <f>#REF!</f>
        <v>#REF!</v>
      </c>
      <c r="H252" s="41" t="s">
        <v>241</v>
      </c>
    </row>
    <row r="253" spans="2:8" ht="4.95" customHeight="1" x14ac:dyDescent="0.3">
      <c r="C253" s="42"/>
      <c r="D253" s="43"/>
      <c r="E253" s="42"/>
      <c r="F253" s="43"/>
      <c r="G253" s="42"/>
      <c r="H253" s="41"/>
    </row>
    <row r="254" spans="2:8" x14ac:dyDescent="0.3">
      <c r="C254" s="136" t="e">
        <f>#REF!</f>
        <v>#REF!</v>
      </c>
      <c r="D254" s="43" t="s">
        <v>205</v>
      </c>
      <c r="E254" s="136" t="e">
        <f>#REF!</f>
        <v>#REF!</v>
      </c>
      <c r="F254" s="43" t="s">
        <v>224</v>
      </c>
      <c r="G254" s="136" t="e">
        <f>#REF!</f>
        <v>#REF!</v>
      </c>
      <c r="H254" s="41" t="s">
        <v>242</v>
      </c>
    </row>
    <row r="255" spans="2:8" ht="4.95" customHeight="1" x14ac:dyDescent="0.3">
      <c r="D255" s="43"/>
      <c r="F255" s="43"/>
      <c r="H255" s="41"/>
    </row>
    <row r="256" spans="2:8" x14ac:dyDescent="0.3">
      <c r="C256" s="136" t="e">
        <f>#REF!</f>
        <v>#REF!</v>
      </c>
      <c r="D256" s="43" t="s">
        <v>206</v>
      </c>
      <c r="E256" s="136" t="e">
        <f>#REF!</f>
        <v>#REF!</v>
      </c>
      <c r="F256" s="43" t="s">
        <v>225</v>
      </c>
      <c r="G256" s="136" t="e">
        <f>#REF!</f>
        <v>#REF!</v>
      </c>
      <c r="H256" s="41" t="s">
        <v>243</v>
      </c>
    </row>
    <row r="257" spans="2:8" s="18" customFormat="1" ht="4.95" customHeight="1" x14ac:dyDescent="0.3">
      <c r="B257" s="101"/>
      <c r="D257" s="40"/>
      <c r="E257" s="23"/>
      <c r="F257" s="24"/>
    </row>
    <row r="258" spans="2:8" x14ac:dyDescent="0.3">
      <c r="C258" s="136" t="e">
        <f>#REF!</f>
        <v>#REF!</v>
      </c>
      <c r="D258" s="43" t="s">
        <v>207</v>
      </c>
      <c r="E258" s="136" t="e">
        <f>#REF!</f>
        <v>#REF!</v>
      </c>
      <c r="F258" s="43" t="s">
        <v>226</v>
      </c>
      <c r="G258" s="136" t="e">
        <f>#REF!</f>
        <v>#REF!</v>
      </c>
      <c r="H258" s="41" t="s">
        <v>244</v>
      </c>
    </row>
    <row r="259" spans="2:8" ht="4.95" customHeight="1" x14ac:dyDescent="0.3">
      <c r="D259" s="43"/>
      <c r="F259" s="43"/>
      <c r="H259" s="41"/>
    </row>
    <row r="260" spans="2:8" x14ac:dyDescent="0.3">
      <c r="C260" s="136" t="e">
        <f>#REF!</f>
        <v>#REF!</v>
      </c>
      <c r="D260" s="43" t="s">
        <v>208</v>
      </c>
      <c r="E260" s="136" t="e">
        <f>#REF!</f>
        <v>#REF!</v>
      </c>
      <c r="F260" s="43" t="s">
        <v>227</v>
      </c>
      <c r="G260" s="136" t="e">
        <f>#REF!</f>
        <v>#REF!</v>
      </c>
      <c r="H260" s="41" t="s">
        <v>245</v>
      </c>
    </row>
    <row r="261" spans="2:8" ht="4.95" customHeight="1" x14ac:dyDescent="0.3">
      <c r="D261" s="43"/>
      <c r="F261" s="43"/>
      <c r="H261" s="41"/>
    </row>
    <row r="262" spans="2:8" x14ac:dyDescent="0.3">
      <c r="C262" s="136" t="e">
        <f>#REF!</f>
        <v>#REF!</v>
      </c>
      <c r="D262" s="43" t="s">
        <v>209</v>
      </c>
      <c r="E262" s="136" t="e">
        <f>#REF!</f>
        <v>#REF!</v>
      </c>
      <c r="F262" s="43" t="s">
        <v>228</v>
      </c>
      <c r="G262" s="136" t="e">
        <f>#REF!</f>
        <v>#REF!</v>
      </c>
      <c r="H262" s="41" t="s">
        <v>246</v>
      </c>
    </row>
    <row r="263" spans="2:8" ht="4.95" customHeight="1" x14ac:dyDescent="0.3">
      <c r="C263" s="42"/>
      <c r="D263" s="43"/>
      <c r="E263" s="42"/>
      <c r="F263" s="43"/>
      <c r="G263" s="42"/>
      <c r="H263" s="41"/>
    </row>
    <row r="264" spans="2:8" x14ac:dyDescent="0.3">
      <c r="C264" s="136" t="e">
        <f>#REF!</f>
        <v>#REF!</v>
      </c>
      <c r="D264" s="43" t="s">
        <v>210</v>
      </c>
      <c r="E264" s="136" t="e">
        <f>#REF!</f>
        <v>#REF!</v>
      </c>
      <c r="F264" s="43" t="s">
        <v>229</v>
      </c>
      <c r="G264" s="136" t="e">
        <f>#REF!</f>
        <v>#REF!</v>
      </c>
      <c r="H264" s="41" t="s">
        <v>247</v>
      </c>
    </row>
    <row r="265" spans="2:8" ht="4.95" customHeight="1" x14ac:dyDescent="0.3">
      <c r="D265" s="43"/>
      <c r="F265" s="43"/>
      <c r="H265" s="41"/>
    </row>
    <row r="266" spans="2:8" x14ac:dyDescent="0.3">
      <c r="C266" s="136" t="e">
        <f>#REF!</f>
        <v>#REF!</v>
      </c>
      <c r="D266" s="43" t="s">
        <v>211</v>
      </c>
      <c r="E266" s="136" t="e">
        <f>#REF!</f>
        <v>#REF!</v>
      </c>
      <c r="F266" s="43" t="s">
        <v>230</v>
      </c>
      <c r="G266" s="136" t="e">
        <f>#REF!</f>
        <v>#REF!</v>
      </c>
      <c r="H266" s="41" t="s">
        <v>248</v>
      </c>
    </row>
    <row r="267" spans="2:8" ht="4.95" customHeight="1" x14ac:dyDescent="0.3">
      <c r="D267" s="43"/>
      <c r="F267" s="43"/>
      <c r="H267" s="41"/>
    </row>
    <row r="268" spans="2:8" x14ac:dyDescent="0.3">
      <c r="C268" s="136" t="e">
        <f>#REF!</f>
        <v>#REF!</v>
      </c>
      <c r="D268" s="43" t="s">
        <v>212</v>
      </c>
      <c r="E268" s="136" t="e">
        <f>#REF!</f>
        <v>#REF!</v>
      </c>
      <c r="F268" s="43" t="s">
        <v>231</v>
      </c>
      <c r="G268" s="136" t="e">
        <f>#REF!</f>
        <v>#REF!</v>
      </c>
      <c r="H268" s="41" t="s">
        <v>249</v>
      </c>
    </row>
    <row r="269" spans="2:8" ht="4.95" customHeight="1" x14ac:dyDescent="0.3">
      <c r="D269" s="43"/>
      <c r="F269" s="43"/>
      <c r="H269" s="41"/>
    </row>
    <row r="270" spans="2:8" x14ac:dyDescent="0.3">
      <c r="C270" s="136" t="e">
        <f>#REF!</f>
        <v>#REF!</v>
      </c>
      <c r="D270" s="43" t="s">
        <v>213</v>
      </c>
      <c r="E270" s="136" t="e">
        <f>#REF!</f>
        <v>#REF!</v>
      </c>
      <c r="F270" s="43" t="s">
        <v>232</v>
      </c>
      <c r="G270" s="136" t="e">
        <f>#REF!</f>
        <v>#REF!</v>
      </c>
      <c r="H270" s="41" t="s">
        <v>250</v>
      </c>
    </row>
    <row r="271" spans="2:8" ht="4.95" customHeight="1" x14ac:dyDescent="0.3">
      <c r="C271" s="42"/>
      <c r="D271" s="43"/>
      <c r="E271" s="42"/>
      <c r="F271" s="43"/>
      <c r="G271" s="42"/>
      <c r="H271" s="41"/>
    </row>
    <row r="272" spans="2:8" x14ac:dyDescent="0.3">
      <c r="C272" s="136" t="e">
        <f>#REF!</f>
        <v>#REF!</v>
      </c>
      <c r="D272" s="43" t="s">
        <v>214</v>
      </c>
      <c r="E272" s="136" t="e">
        <f>#REF!</f>
        <v>#REF!</v>
      </c>
      <c r="F272" s="43" t="s">
        <v>233</v>
      </c>
      <c r="G272" s="136" t="e">
        <f>#REF!</f>
        <v>#REF!</v>
      </c>
      <c r="H272" s="41" t="s">
        <v>251</v>
      </c>
    </row>
    <row r="273" spans="2:13" ht="4.95" customHeight="1" x14ac:dyDescent="0.3">
      <c r="D273" s="43"/>
      <c r="F273" s="43"/>
      <c r="H273" s="41"/>
    </row>
    <row r="274" spans="2:13" x14ac:dyDescent="0.3">
      <c r="C274" s="136" t="e">
        <f>#REF!</f>
        <v>#REF!</v>
      </c>
      <c r="D274" s="43" t="s">
        <v>215</v>
      </c>
      <c r="E274" s="136" t="e">
        <f>#REF!</f>
        <v>#REF!</v>
      </c>
      <c r="F274" s="43" t="s">
        <v>234</v>
      </c>
      <c r="G274" s="30"/>
      <c r="H274" s="41"/>
    </row>
    <row r="276" spans="2:13" x14ac:dyDescent="0.3">
      <c r="B276" s="102" t="s">
        <v>131</v>
      </c>
    </row>
    <row r="277" spans="2:13" ht="4.95" customHeight="1" x14ac:dyDescent="0.3">
      <c r="C277" s="30"/>
      <c r="D277" s="34"/>
      <c r="E277" s="36"/>
      <c r="F277" s="30"/>
    </row>
    <row r="278" spans="2:13" ht="4.95" customHeight="1" x14ac:dyDescent="0.3">
      <c r="C278" s="143"/>
      <c r="D278" s="143"/>
      <c r="E278" s="143"/>
      <c r="F278" s="143"/>
      <c r="G278" s="30"/>
      <c r="H278" s="30"/>
    </row>
    <row r="279" spans="2:13" s="18" customFormat="1" ht="4.95" customHeight="1" x14ac:dyDescent="0.3">
      <c r="B279" s="101"/>
      <c r="D279" s="40"/>
      <c r="E279" s="23"/>
      <c r="F279" s="24"/>
      <c r="G279" s="51"/>
      <c r="H279" s="51"/>
    </row>
    <row r="280" spans="2:13" x14ac:dyDescent="0.3">
      <c r="C280" s="142" t="e">
        <f>#REF!</f>
        <v>#REF!</v>
      </c>
      <c r="D280" s="34" t="s">
        <v>361</v>
      </c>
      <c r="E280" s="36"/>
      <c r="F280" s="30"/>
      <c r="G280" s="12"/>
      <c r="H280" s="12"/>
      <c r="J280" s="145" t="str">
        <f>IF(COUNTIF(J284:K284,"GO")&gt;0,"","STOP")</f>
        <v>STOP</v>
      </c>
      <c r="M280" s="6" t="str">
        <f>J280</f>
        <v>STOP</v>
      </c>
    </row>
    <row r="281" spans="2:13" ht="4.95" customHeight="1" x14ac:dyDescent="0.3">
      <c r="C281" s="30"/>
      <c r="D281" s="34"/>
      <c r="E281" s="36"/>
      <c r="F281" s="30"/>
      <c r="G281" s="12"/>
      <c r="H281" s="12"/>
    </row>
    <row r="282" spans="2:13" ht="4.95" customHeight="1" x14ac:dyDescent="0.3">
      <c r="C282" s="143"/>
      <c r="D282" s="143"/>
      <c r="E282" s="143"/>
      <c r="F282" s="143"/>
      <c r="G282" s="12"/>
      <c r="H282" s="12"/>
    </row>
    <row r="283" spans="2:13" s="18" customFormat="1" ht="4.95" customHeight="1" x14ac:dyDescent="0.3">
      <c r="B283" s="101"/>
      <c r="D283" s="40"/>
      <c r="E283" s="23"/>
      <c r="F283" s="24"/>
      <c r="G283" s="51"/>
      <c r="H283" s="51"/>
    </row>
    <row r="284" spans="2:13" x14ac:dyDescent="0.3">
      <c r="C284" s="136" t="e">
        <f>#REF!</f>
        <v>#REF!</v>
      </c>
      <c r="D284" s="43" t="s">
        <v>253</v>
      </c>
      <c r="E284" s="136" t="e">
        <f>#REF!</f>
        <v>#REF!</v>
      </c>
      <c r="F284" s="43" t="s">
        <v>254</v>
      </c>
      <c r="G284" s="30"/>
      <c r="H284" s="52"/>
      <c r="J284" s="6" t="str">
        <f t="shared" ref="J284" si="100">IF(ISERR(FIND($J$15,C284,1)),"STOP","GO")</f>
        <v>STOP</v>
      </c>
      <c r="K284" s="6" t="str">
        <f t="shared" ref="K284" si="101">IF(ISERR(FIND($J$15,E284,1)),"STOP","GO")</f>
        <v>STOP</v>
      </c>
    </row>
    <row r="286" spans="2:13" x14ac:dyDescent="0.3">
      <c r="B286" s="102" t="s">
        <v>132</v>
      </c>
      <c r="D286" s="15" t="s">
        <v>387</v>
      </c>
    </row>
    <row r="287" spans="2:13" ht="4.95" customHeight="1" x14ac:dyDescent="0.3">
      <c r="C287" s="30"/>
      <c r="D287" s="34"/>
      <c r="E287" s="36"/>
      <c r="F287" s="30"/>
    </row>
    <row r="288" spans="2:13" ht="4.95" customHeight="1" x14ac:dyDescent="0.3">
      <c r="C288" s="143"/>
      <c r="D288" s="143"/>
      <c r="E288" s="143"/>
      <c r="F288" s="143"/>
      <c r="G288" s="143"/>
      <c r="H288" s="143"/>
    </row>
    <row r="289" spans="2:13" s="18" customFormat="1" ht="4.95" customHeight="1" x14ac:dyDescent="0.3">
      <c r="B289" s="101"/>
      <c r="D289" s="40"/>
      <c r="E289" s="23"/>
      <c r="F289" s="24"/>
    </row>
    <row r="290" spans="2:13" x14ac:dyDescent="0.3">
      <c r="C290" s="142" t="e">
        <f>#REF!</f>
        <v>#REF!</v>
      </c>
      <c r="D290" s="34" t="s">
        <v>361</v>
      </c>
      <c r="E290" s="36"/>
      <c r="F290" s="30"/>
      <c r="J290" s="145" t="str">
        <f>IF(COUNTIF(J294:L302,"GO")&gt;0,"","STOP")</f>
        <v>STOP</v>
      </c>
      <c r="M290" s="6" t="str">
        <f>J290</f>
        <v>STOP</v>
      </c>
    </row>
    <row r="291" spans="2:13" ht="4.95" customHeight="1" x14ac:dyDescent="0.3">
      <c r="C291" s="30"/>
      <c r="D291" s="34"/>
      <c r="E291" s="36"/>
      <c r="F291" s="30"/>
    </row>
    <row r="292" spans="2:13" ht="4.95" customHeight="1" x14ac:dyDescent="0.3">
      <c r="C292" s="143"/>
      <c r="D292" s="143"/>
      <c r="E292" s="143"/>
      <c r="F292" s="143"/>
      <c r="G292" s="143"/>
      <c r="H292" s="143"/>
    </row>
    <row r="293" spans="2:13" s="18" customFormat="1" ht="4.95" customHeight="1" x14ac:dyDescent="0.3">
      <c r="B293" s="101"/>
      <c r="D293" s="40"/>
      <c r="E293" s="23"/>
      <c r="F293" s="24"/>
    </row>
    <row r="294" spans="2:13" x14ac:dyDescent="0.3">
      <c r="C294" s="136" t="e">
        <f>#REF!</f>
        <v>#REF!</v>
      </c>
      <c r="D294" s="43" t="s">
        <v>256</v>
      </c>
      <c r="E294" s="136" t="e">
        <f>#REF!</f>
        <v>#REF!</v>
      </c>
      <c r="F294" s="43" t="s">
        <v>260</v>
      </c>
      <c r="G294" s="136" t="e">
        <f>#REF!</f>
        <v>#REF!</v>
      </c>
      <c r="H294" s="41" t="s">
        <v>264</v>
      </c>
      <c r="J294" s="6" t="str">
        <f t="shared" ref="J294" si="102">IF(ISERR(FIND($J$15,C294,1)),"STOP","GO")</f>
        <v>STOP</v>
      </c>
      <c r="K294" s="6" t="str">
        <f t="shared" ref="K294" si="103">IF(ISERR(FIND($J$15,E294,1)),"STOP","GO")</f>
        <v>STOP</v>
      </c>
      <c r="L294" s="6" t="str">
        <f t="shared" ref="L294" si="104">IF(ISERR(FIND($J$15,G294,1)),"STOP","GO")</f>
        <v>STOP</v>
      </c>
    </row>
    <row r="295" spans="2:13" ht="4.95" customHeight="1" x14ac:dyDescent="0.3">
      <c r="D295" s="43"/>
      <c r="F295" s="43"/>
      <c r="H295" s="41"/>
    </row>
    <row r="296" spans="2:13" x14ac:dyDescent="0.3">
      <c r="C296" s="136" t="e">
        <f>#REF!</f>
        <v>#REF!</v>
      </c>
      <c r="D296" s="43" t="s">
        <v>257</v>
      </c>
      <c r="E296" s="136" t="e">
        <f>#REF!</f>
        <v>#REF!</v>
      </c>
      <c r="F296" s="43" t="s">
        <v>167</v>
      </c>
      <c r="G296" s="136" t="e">
        <f>#REF!</f>
        <v>#REF!</v>
      </c>
      <c r="H296" s="41" t="s">
        <v>265</v>
      </c>
      <c r="J296" s="6" t="str">
        <f>IF(ISERR(FIND($J$15,C296,1)),"STOP","GO")</f>
        <v>STOP</v>
      </c>
      <c r="K296" s="6" t="str">
        <f t="shared" ref="K296" si="105">IF(ISERR(FIND($J$15,E296,1)),"STOP","GO")</f>
        <v>STOP</v>
      </c>
      <c r="L296" s="6" t="str">
        <f t="shared" ref="L296" si="106">IF(ISERR(FIND($J$15,G296,1)),"STOP","GO")</f>
        <v>STOP</v>
      </c>
    </row>
    <row r="297" spans="2:13" ht="4.95" customHeight="1" x14ac:dyDescent="0.3">
      <c r="D297" s="43"/>
      <c r="F297" s="43"/>
      <c r="H297" s="41"/>
    </row>
    <row r="298" spans="2:13" x14ac:dyDescent="0.3">
      <c r="C298" s="136" t="e">
        <f>#REF!</f>
        <v>#REF!</v>
      </c>
      <c r="D298" s="43" t="s">
        <v>258</v>
      </c>
      <c r="E298" s="136" t="e">
        <f>#REF!</f>
        <v>#REF!</v>
      </c>
      <c r="F298" s="43" t="s">
        <v>368</v>
      </c>
      <c r="G298" s="136" t="e">
        <f>#REF!</f>
        <v>#REF!</v>
      </c>
      <c r="H298" s="41" t="s">
        <v>266</v>
      </c>
      <c r="J298" s="6" t="str">
        <f t="shared" ref="J298" si="107">IF(ISERR(FIND($J$15,C298,1)),"STOP","GO")</f>
        <v>STOP</v>
      </c>
      <c r="K298" s="6" t="str">
        <f t="shared" ref="K298" si="108">IF(ISERR(FIND($J$15,E298,1)),"STOP","GO")</f>
        <v>STOP</v>
      </c>
      <c r="L298" s="6" t="str">
        <f t="shared" ref="L298" si="109">IF(ISERR(FIND($J$15,G298,1)),"STOP","GO")</f>
        <v>STOP</v>
      </c>
    </row>
    <row r="299" spans="2:13" ht="4.95" customHeight="1" x14ac:dyDescent="0.3">
      <c r="C299" s="42"/>
      <c r="D299" s="43"/>
      <c r="E299" s="42"/>
      <c r="F299" s="43"/>
      <c r="G299" s="42"/>
      <c r="H299" s="41"/>
    </row>
    <row r="300" spans="2:13" x14ac:dyDescent="0.3">
      <c r="C300" s="136" t="e">
        <f>#REF!</f>
        <v>#REF!</v>
      </c>
      <c r="D300" s="43" t="s">
        <v>259</v>
      </c>
      <c r="E300" s="136" t="e">
        <f>#REF!</f>
        <v>#REF!</v>
      </c>
      <c r="F300" s="43" t="s">
        <v>262</v>
      </c>
      <c r="G300" s="136" t="e">
        <f>#REF!</f>
        <v>#REF!</v>
      </c>
      <c r="H300" s="41" t="s">
        <v>267</v>
      </c>
      <c r="J300" s="6" t="str">
        <f>IF(ISERR(FIND($J$15,C300,1)),"STOP","GO")</f>
        <v>STOP</v>
      </c>
      <c r="K300" s="6" t="str">
        <f t="shared" ref="K300" si="110">IF(ISERR(FIND($J$15,E300,1)),"STOP","GO")</f>
        <v>STOP</v>
      </c>
      <c r="L300" s="6" t="str">
        <f t="shared" ref="L300" si="111">IF(ISERR(FIND($J$15,G300,1)),"STOP","GO")</f>
        <v>STOP</v>
      </c>
    </row>
    <row r="301" spans="2:13" ht="4.95" customHeight="1" x14ac:dyDescent="0.3">
      <c r="D301" s="43"/>
      <c r="F301" s="43"/>
      <c r="H301" s="41"/>
    </row>
    <row r="302" spans="2:13" x14ac:dyDescent="0.3">
      <c r="C302" s="136" t="e">
        <f>#REF!</f>
        <v>#REF!</v>
      </c>
      <c r="D302" s="43" t="s">
        <v>162</v>
      </c>
      <c r="E302" s="136" t="e">
        <f>#REF!</f>
        <v>#REF!</v>
      </c>
      <c r="F302" s="43" t="s">
        <v>263</v>
      </c>
      <c r="G302" s="136" t="e">
        <f>#REF!</f>
        <v>#REF!</v>
      </c>
      <c r="H302" s="41" t="s">
        <v>268</v>
      </c>
      <c r="J302" s="6" t="str">
        <f t="shared" ref="J302" si="112">IF(ISERR(FIND($J$15,C302,1)),"STOP","GO")</f>
        <v>STOP</v>
      </c>
      <c r="K302" s="6" t="str">
        <f t="shared" ref="K302" si="113">IF(ISERR(FIND($J$15,E302,1)),"STOP","GO")</f>
        <v>STOP</v>
      </c>
      <c r="L302" s="6" t="str">
        <f t="shared" ref="L302" si="114">IF(ISERR(FIND($J$15,G302,1)),"STOP","GO")</f>
        <v>STOP</v>
      </c>
    </row>
    <row r="304" spans="2:13" x14ac:dyDescent="0.3">
      <c r="B304" s="102" t="s">
        <v>133</v>
      </c>
      <c r="D304" s="15" t="s">
        <v>369</v>
      </c>
    </row>
    <row r="305" spans="2:8" x14ac:dyDescent="0.3">
      <c r="B305" s="102"/>
    </row>
    <row r="306" spans="2:8" x14ac:dyDescent="0.3">
      <c r="C306" s="136" t="e">
        <f>#REF!</f>
        <v>#REF!</v>
      </c>
      <c r="D306" s="19" t="s">
        <v>270</v>
      </c>
      <c r="E306" s="136" t="e">
        <f>#REF!</f>
        <v>#REF!</v>
      </c>
      <c r="F306" s="43" t="s">
        <v>277</v>
      </c>
      <c r="G306" s="136" t="e">
        <f>#REF!</f>
        <v>#REF!</v>
      </c>
      <c r="H306" s="53" t="s">
        <v>284</v>
      </c>
    </row>
    <row r="307" spans="2:8" ht="4.95" customHeight="1" x14ac:dyDescent="0.3">
      <c r="D307" s="43"/>
      <c r="F307" s="43"/>
      <c r="H307" s="41"/>
    </row>
    <row r="308" spans="2:8" x14ac:dyDescent="0.3">
      <c r="C308" s="136" t="e">
        <f>#REF!</f>
        <v>#REF!</v>
      </c>
      <c r="D308" s="43" t="s">
        <v>271</v>
      </c>
      <c r="E308" s="136" t="e">
        <f>#REF!</f>
        <v>#REF!</v>
      </c>
      <c r="F308" s="43" t="s">
        <v>278</v>
      </c>
      <c r="G308" s="136" t="e">
        <f>#REF!</f>
        <v>#REF!</v>
      </c>
      <c r="H308" s="41" t="s">
        <v>285</v>
      </c>
    </row>
    <row r="309" spans="2:8" ht="4.95" customHeight="1" x14ac:dyDescent="0.3">
      <c r="C309" s="42"/>
      <c r="D309" s="43"/>
      <c r="E309" s="42"/>
      <c r="F309" s="43"/>
      <c r="G309" s="42"/>
      <c r="H309" s="41"/>
    </row>
    <row r="310" spans="2:8" x14ac:dyDescent="0.3">
      <c r="C310" s="136" t="e">
        <f>#REF!</f>
        <v>#REF!</v>
      </c>
      <c r="D310" s="43" t="s">
        <v>272</v>
      </c>
      <c r="E310" s="136" t="e">
        <f>#REF!</f>
        <v>#REF!</v>
      </c>
      <c r="F310" s="43" t="s">
        <v>279</v>
      </c>
      <c r="G310" s="136" t="e">
        <f>#REF!</f>
        <v>#REF!</v>
      </c>
      <c r="H310" s="41" t="s">
        <v>286</v>
      </c>
    </row>
    <row r="311" spans="2:8" ht="4.95" customHeight="1" x14ac:dyDescent="0.3">
      <c r="D311" s="43"/>
      <c r="F311" s="43"/>
      <c r="H311" s="41"/>
    </row>
    <row r="312" spans="2:8" x14ac:dyDescent="0.3">
      <c r="C312" s="136" t="e">
        <f>#REF!</f>
        <v>#REF!</v>
      </c>
      <c r="D312" s="43" t="s">
        <v>273</v>
      </c>
      <c r="E312" s="136" t="e">
        <f>#REF!</f>
        <v>#REF!</v>
      </c>
      <c r="F312" s="19" t="s">
        <v>280</v>
      </c>
      <c r="G312" s="136" t="e">
        <f>#REF!</f>
        <v>#REF!</v>
      </c>
      <c r="H312" s="41" t="s">
        <v>287</v>
      </c>
    </row>
    <row r="313" spans="2:8" ht="4.95" customHeight="1" x14ac:dyDescent="0.3">
      <c r="D313" s="43"/>
      <c r="F313" s="43"/>
      <c r="H313" s="41"/>
    </row>
    <row r="314" spans="2:8" x14ac:dyDescent="0.3">
      <c r="C314" s="136" t="e">
        <f>#REF!</f>
        <v>#REF!</v>
      </c>
      <c r="D314" s="43" t="s">
        <v>274</v>
      </c>
      <c r="E314" s="136" t="e">
        <f>#REF!</f>
        <v>#REF!</v>
      </c>
      <c r="F314" s="43" t="s">
        <v>281</v>
      </c>
      <c r="G314" s="136" t="e">
        <f>#REF!</f>
        <v>#REF!</v>
      </c>
      <c r="H314" s="41" t="s">
        <v>288</v>
      </c>
    </row>
    <row r="315" spans="2:8" ht="4.95" customHeight="1" x14ac:dyDescent="0.3">
      <c r="D315" s="43"/>
      <c r="F315" s="43"/>
      <c r="H315" s="41"/>
    </row>
    <row r="316" spans="2:8" x14ac:dyDescent="0.3">
      <c r="C316" s="136" t="e">
        <f>#REF!</f>
        <v>#REF!</v>
      </c>
      <c r="D316" s="19" t="s">
        <v>275</v>
      </c>
      <c r="E316" s="136" t="e">
        <f>#REF!</f>
        <v>#REF!</v>
      </c>
      <c r="F316" s="43" t="s">
        <v>282</v>
      </c>
      <c r="G316" s="30"/>
      <c r="H316" s="41"/>
    </row>
    <row r="317" spans="2:8" ht="4.95" customHeight="1" x14ac:dyDescent="0.3">
      <c r="C317" s="42"/>
      <c r="D317" s="43"/>
      <c r="E317" s="42"/>
      <c r="F317" s="43"/>
      <c r="G317" s="54"/>
      <c r="H317" s="41"/>
    </row>
    <row r="318" spans="2:8" x14ac:dyDescent="0.3">
      <c r="C318" s="136" t="e">
        <f>#REF!</f>
        <v>#REF!</v>
      </c>
      <c r="D318" s="43" t="s">
        <v>276</v>
      </c>
      <c r="E318" s="136" t="e">
        <f>#REF!</f>
        <v>#REF!</v>
      </c>
      <c r="F318" s="43" t="s">
        <v>283</v>
      </c>
      <c r="G318" s="30"/>
      <c r="H318" s="41"/>
    </row>
    <row r="320" spans="2:8" x14ac:dyDescent="0.3">
      <c r="B320" s="102" t="s">
        <v>134</v>
      </c>
      <c r="D320" s="15"/>
    </row>
    <row r="321" spans="2:13" ht="4.95" customHeight="1" x14ac:dyDescent="0.3">
      <c r="C321" s="30"/>
      <c r="D321" s="34"/>
      <c r="E321" s="36"/>
      <c r="F321" s="30"/>
    </row>
    <row r="322" spans="2:13" ht="4.95" customHeight="1" x14ac:dyDescent="0.3">
      <c r="C322" s="143"/>
      <c r="D322" s="143"/>
      <c r="E322" s="143"/>
      <c r="F322" s="143"/>
      <c r="G322" s="143"/>
      <c r="H322" s="143"/>
    </row>
    <row r="323" spans="2:13" s="18" customFormat="1" ht="4.95" customHeight="1" x14ac:dyDescent="0.3">
      <c r="B323" s="101"/>
      <c r="D323" s="40"/>
      <c r="E323" s="23"/>
      <c r="F323" s="24"/>
    </row>
    <row r="324" spans="2:13" x14ac:dyDescent="0.3">
      <c r="C324" s="142" t="e">
        <f>#REF!</f>
        <v>#REF!</v>
      </c>
      <c r="D324" s="34" t="s">
        <v>361</v>
      </c>
      <c r="E324" s="36"/>
      <c r="F324" s="30"/>
      <c r="J324" s="145" t="str">
        <f>IF(COUNTIF(J328:L328,"GO")&gt;0,"","STOP")</f>
        <v>STOP</v>
      </c>
      <c r="M324" s="6" t="str">
        <f>J324</f>
        <v>STOP</v>
      </c>
    </row>
    <row r="325" spans="2:13" ht="4.95" customHeight="1" x14ac:dyDescent="0.3">
      <c r="C325" s="30"/>
      <c r="D325" s="34"/>
      <c r="E325" s="36"/>
      <c r="F325" s="30"/>
    </row>
    <row r="326" spans="2:13" ht="4.95" customHeight="1" x14ac:dyDescent="0.3">
      <c r="C326" s="143"/>
      <c r="D326" s="143"/>
      <c r="E326" s="143"/>
      <c r="F326" s="143"/>
      <c r="G326" s="143"/>
      <c r="H326" s="143"/>
    </row>
    <row r="327" spans="2:13" s="18" customFormat="1" ht="4.95" customHeight="1" x14ac:dyDescent="0.3">
      <c r="B327" s="101"/>
      <c r="D327" s="40"/>
      <c r="E327" s="23"/>
      <c r="F327" s="24"/>
    </row>
    <row r="328" spans="2:13" x14ac:dyDescent="0.3">
      <c r="C328" s="136" t="e">
        <f>#REF!</f>
        <v>#REF!</v>
      </c>
      <c r="D328" s="43" t="s">
        <v>290</v>
      </c>
      <c r="E328" s="136" t="e">
        <f>#REF!</f>
        <v>#REF!</v>
      </c>
      <c r="F328" s="43" t="s">
        <v>291</v>
      </c>
      <c r="G328" s="136" t="e">
        <f>#REF!</f>
        <v>#REF!</v>
      </c>
      <c r="H328" s="41" t="s">
        <v>292</v>
      </c>
      <c r="J328" s="6" t="str">
        <f t="shared" ref="J328" si="115">IF(ISERR(FIND($J$15,C328,1)),"STOP","GO")</f>
        <v>STOP</v>
      </c>
      <c r="K328" s="6" t="str">
        <f t="shared" ref="K328" si="116">IF(ISERR(FIND($J$15,E328,1)),"STOP","GO")</f>
        <v>STOP</v>
      </c>
      <c r="L328" s="6" t="str">
        <f t="shared" ref="L328" si="117">IF(ISERR(FIND($J$15,G328,1)),"STOP","GO")</f>
        <v>STOP</v>
      </c>
    </row>
    <row r="329" spans="2:13" ht="15" hidden="1" x14ac:dyDescent="0.25"/>
    <row r="330" spans="2:13" ht="15" hidden="1" x14ac:dyDescent="0.25">
      <c r="B330" s="102" t="s">
        <v>135</v>
      </c>
      <c r="D330" s="15"/>
    </row>
    <row r="331" spans="2:13" ht="4.95" hidden="1" customHeight="1" x14ac:dyDescent="0.25">
      <c r="C331" s="30"/>
      <c r="D331" s="34"/>
      <c r="E331" s="36"/>
      <c r="F331" s="30"/>
    </row>
    <row r="332" spans="2:13" ht="4.95" hidden="1" customHeight="1" x14ac:dyDescent="0.25">
      <c r="C332" s="143"/>
      <c r="D332" s="143"/>
      <c r="E332" s="143"/>
      <c r="F332" s="143"/>
      <c r="G332" s="143"/>
      <c r="H332" s="143"/>
    </row>
    <row r="333" spans="2:13" s="18" customFormat="1" ht="4.95" hidden="1" customHeight="1" x14ac:dyDescent="0.25">
      <c r="B333" s="101"/>
      <c r="D333" s="40"/>
      <c r="E333" s="23"/>
      <c r="F333" s="24"/>
    </row>
    <row r="334" spans="2:13" ht="15" hidden="1" x14ac:dyDescent="0.25">
      <c r="C334" s="142" t="e">
        <f>#REF!</f>
        <v>#REF!</v>
      </c>
      <c r="D334" s="34" t="s">
        <v>361</v>
      </c>
      <c r="E334" s="36"/>
      <c r="F334" s="30"/>
    </row>
    <row r="335" spans="2:13" ht="4.95" hidden="1" customHeight="1" x14ac:dyDescent="0.25">
      <c r="C335" s="30"/>
      <c r="D335" s="34"/>
      <c r="E335" s="36"/>
      <c r="F335" s="30"/>
    </row>
    <row r="336" spans="2:13" ht="4.95" hidden="1" customHeight="1" x14ac:dyDescent="0.25">
      <c r="C336" s="143"/>
      <c r="D336" s="143"/>
      <c r="E336" s="143"/>
      <c r="F336" s="143"/>
      <c r="G336" s="143"/>
      <c r="H336" s="143"/>
    </row>
    <row r="337" spans="2:8" s="18" customFormat="1" ht="4.95" hidden="1" customHeight="1" x14ac:dyDescent="0.25">
      <c r="B337" s="101"/>
      <c r="D337" s="40"/>
      <c r="E337" s="23"/>
      <c r="F337" s="24"/>
    </row>
    <row r="338" spans="2:8" ht="15" hidden="1" x14ac:dyDescent="0.25">
      <c r="C338" s="136" t="e">
        <f>#REF!</f>
        <v>#REF!</v>
      </c>
      <c r="D338" s="43" t="s">
        <v>294</v>
      </c>
      <c r="E338" s="136" t="e">
        <f>#REF!</f>
        <v>#REF!</v>
      </c>
      <c r="F338" s="41" t="s">
        <v>295</v>
      </c>
      <c r="G338" s="30"/>
      <c r="H338" s="41"/>
    </row>
    <row r="339" spans="2:8" x14ac:dyDescent="0.3">
      <c r="B339" s="102"/>
      <c r="C339" s="49"/>
    </row>
    <row r="340" spans="2:8" x14ac:dyDescent="0.3">
      <c r="B340" s="102" t="s">
        <v>136</v>
      </c>
      <c r="D340" s="15"/>
    </row>
    <row r="341" spans="2:8" ht="4.95" customHeight="1" x14ac:dyDescent="0.3">
      <c r="C341" s="30"/>
      <c r="D341" s="34"/>
      <c r="E341" s="36"/>
      <c r="F341" s="30"/>
    </row>
    <row r="342" spans="2:8" ht="4.95" customHeight="1" x14ac:dyDescent="0.3">
      <c r="C342" s="143"/>
      <c r="D342" s="143"/>
      <c r="E342" s="143"/>
      <c r="F342" s="143"/>
      <c r="G342" s="143"/>
      <c r="H342" s="143"/>
    </row>
    <row r="343" spans="2:8" s="18" customFormat="1" ht="4.95" customHeight="1" x14ac:dyDescent="0.3">
      <c r="B343" s="101"/>
      <c r="D343" s="40"/>
      <c r="E343" s="23"/>
      <c r="F343" s="24"/>
    </row>
    <row r="344" spans="2:8" x14ac:dyDescent="0.3">
      <c r="C344" s="142" t="e">
        <f>#REF!</f>
        <v>#REF!</v>
      </c>
      <c r="D344" s="34" t="s">
        <v>361</v>
      </c>
      <c r="E344" s="36"/>
      <c r="F344" s="30"/>
    </row>
    <row r="345" spans="2:8" ht="4.95" customHeight="1" x14ac:dyDescent="0.3">
      <c r="C345" s="30"/>
      <c r="D345" s="34"/>
      <c r="E345" s="36"/>
      <c r="F345" s="30"/>
    </row>
    <row r="346" spans="2:8" ht="4.95" customHeight="1" x14ac:dyDescent="0.3">
      <c r="C346" s="143"/>
      <c r="D346" s="143"/>
      <c r="E346" s="143"/>
      <c r="F346" s="143"/>
      <c r="G346" s="143"/>
      <c r="H346" s="143"/>
    </row>
    <row r="347" spans="2:8" s="18" customFormat="1" ht="4.95" customHeight="1" x14ac:dyDescent="0.3">
      <c r="B347" s="101"/>
      <c r="D347" s="40"/>
      <c r="E347" s="23"/>
      <c r="F347" s="24"/>
    </row>
    <row r="348" spans="2:8" x14ac:dyDescent="0.3">
      <c r="C348" s="136" t="e">
        <f>#REF!</f>
        <v>#REF!</v>
      </c>
      <c r="D348" s="43" t="s">
        <v>297</v>
      </c>
      <c r="E348" s="136" t="e">
        <f>#REF!</f>
        <v>#REF!</v>
      </c>
      <c r="F348" s="43" t="s">
        <v>299</v>
      </c>
      <c r="G348" s="136" t="e">
        <f>#REF!</f>
        <v>#REF!</v>
      </c>
      <c r="H348" s="41" t="s">
        <v>301</v>
      </c>
    </row>
    <row r="349" spans="2:8" ht="4.95" customHeight="1" x14ac:dyDescent="0.3">
      <c r="D349" s="43"/>
      <c r="F349" s="43"/>
      <c r="H349" s="41"/>
    </row>
    <row r="350" spans="2:8" x14ac:dyDescent="0.3">
      <c r="C350" s="136" t="e">
        <f>#REF!</f>
        <v>#REF!</v>
      </c>
      <c r="D350" s="43" t="s">
        <v>298</v>
      </c>
      <c r="E350" s="136" t="e">
        <f>#REF!</f>
        <v>#REF!</v>
      </c>
      <c r="F350" s="43" t="s">
        <v>300</v>
      </c>
      <c r="G350" s="30"/>
      <c r="H350" s="41"/>
    </row>
    <row r="351" spans="2:8" x14ac:dyDescent="0.3">
      <c r="B351" s="102"/>
      <c r="C351" s="49"/>
    </row>
    <row r="352" spans="2:8" ht="22.8" x14ac:dyDescent="0.3">
      <c r="D352" s="181" t="s">
        <v>331</v>
      </c>
      <c r="E352" s="181"/>
      <c r="F352" s="181"/>
      <c r="G352" s="181"/>
      <c r="H352" s="181"/>
    </row>
    <row r="353" spans="2:8" ht="46.95" customHeight="1" x14ac:dyDescent="0.3">
      <c r="D353" s="190" t="s">
        <v>332</v>
      </c>
      <c r="E353" s="190"/>
      <c r="F353" s="190"/>
      <c r="G353" s="190"/>
      <c r="H353" s="190"/>
    </row>
    <row r="354" spans="2:8" x14ac:dyDescent="0.3">
      <c r="D354" s="135" t="s">
        <v>326</v>
      </c>
      <c r="E354" s="135"/>
      <c r="F354" s="135" t="s">
        <v>327</v>
      </c>
      <c r="G354" s="99"/>
      <c r="H354" s="135" t="s">
        <v>328</v>
      </c>
    </row>
    <row r="355" spans="2:8" ht="15" thickBot="1" x14ac:dyDescent="0.35"/>
    <row r="356" spans="2:8" ht="15.6" thickTop="1" thickBot="1" x14ac:dyDescent="0.35">
      <c r="B356" s="104" t="s">
        <v>139</v>
      </c>
      <c r="C356" s="56"/>
      <c r="D356" s="139"/>
      <c r="E356" s="57"/>
      <c r="F356" s="139"/>
      <c r="G356" s="58"/>
      <c r="H356" s="139"/>
    </row>
    <row r="357" spans="2:8" ht="15" thickTop="1" x14ac:dyDescent="0.3">
      <c r="D357" s="58"/>
      <c r="E357" s="59"/>
      <c r="F357" s="58"/>
      <c r="G357" s="58"/>
      <c r="H357" s="58"/>
    </row>
    <row r="358" spans="2:8" ht="36" customHeight="1" x14ac:dyDescent="0.3">
      <c r="B358" s="104" t="s">
        <v>137</v>
      </c>
      <c r="C358" s="56"/>
      <c r="D358" s="140"/>
      <c r="E358" s="60"/>
      <c r="F358" s="140"/>
      <c r="G358" s="58"/>
      <c r="H358" s="140"/>
    </row>
    <row r="359" spans="2:8" x14ac:dyDescent="0.3">
      <c r="B359" s="105"/>
      <c r="C359" s="61"/>
      <c r="D359" s="58"/>
      <c r="E359" s="59"/>
      <c r="F359" s="58"/>
      <c r="G359" s="58"/>
      <c r="H359" s="58"/>
    </row>
    <row r="360" spans="2:8" x14ac:dyDescent="0.3">
      <c r="B360" s="104" t="s">
        <v>138</v>
      </c>
      <c r="C360" s="56"/>
      <c r="D360" s="140"/>
      <c r="E360" s="60"/>
      <c r="F360" s="140"/>
      <c r="G360" s="58"/>
      <c r="H360" s="140"/>
    </row>
    <row r="361" spans="2:8" x14ac:dyDescent="0.3">
      <c r="E361" s="62"/>
    </row>
    <row r="362" spans="2:8" x14ac:dyDescent="0.3">
      <c r="D362" s="135" t="s">
        <v>329</v>
      </c>
      <c r="E362" s="135"/>
      <c r="F362" s="135" t="s">
        <v>330</v>
      </c>
      <c r="G362" s="99"/>
      <c r="H362" s="135" t="s">
        <v>370</v>
      </c>
    </row>
    <row r="363" spans="2:8" ht="15" thickBot="1" x14ac:dyDescent="0.35">
      <c r="E363" s="62"/>
    </row>
    <row r="364" spans="2:8" ht="15.6" thickTop="1" thickBot="1" x14ac:dyDescent="0.35">
      <c r="B364" s="104" t="s">
        <v>139</v>
      </c>
      <c r="C364" s="56"/>
      <c r="D364" s="139"/>
      <c r="E364" s="57"/>
      <c r="F364" s="139"/>
      <c r="G364" s="58"/>
      <c r="H364" s="139"/>
    </row>
    <row r="365" spans="2:8" ht="15" thickTop="1" x14ac:dyDescent="0.3">
      <c r="D365" s="58"/>
      <c r="E365" s="59"/>
      <c r="F365" s="58"/>
      <c r="G365" s="58"/>
      <c r="H365" s="58"/>
    </row>
    <row r="366" spans="2:8" ht="36" customHeight="1" x14ac:dyDescent="0.3">
      <c r="B366" s="104" t="s">
        <v>137</v>
      </c>
      <c r="C366" s="56"/>
      <c r="D366" s="140"/>
      <c r="E366" s="60"/>
      <c r="F366" s="140"/>
      <c r="G366" s="58"/>
      <c r="H366" s="140"/>
    </row>
    <row r="367" spans="2:8" x14ac:dyDescent="0.3">
      <c r="B367" s="105"/>
      <c r="C367" s="61"/>
      <c r="D367" s="58"/>
      <c r="E367" s="59"/>
      <c r="F367" s="58"/>
      <c r="G367" s="58"/>
      <c r="H367" s="58"/>
    </row>
    <row r="368" spans="2:8" x14ac:dyDescent="0.3">
      <c r="B368" s="104" t="s">
        <v>138</v>
      </c>
      <c r="C368" s="56"/>
      <c r="D368" s="140"/>
      <c r="E368" s="60"/>
      <c r="F368" s="140"/>
      <c r="G368" s="58"/>
      <c r="H368" s="140"/>
    </row>
    <row r="369" spans="2:8" x14ac:dyDescent="0.3">
      <c r="E369" s="62"/>
    </row>
    <row r="370" spans="2:8" ht="22.8" x14ac:dyDescent="0.3">
      <c r="D370" s="181" t="s">
        <v>333</v>
      </c>
      <c r="E370" s="181"/>
      <c r="F370" s="181"/>
      <c r="G370" s="181"/>
      <c r="H370" s="181"/>
    </row>
    <row r="371" spans="2:8" ht="44.4" customHeight="1" x14ac:dyDescent="0.3">
      <c r="D371" s="190" t="s">
        <v>339</v>
      </c>
      <c r="E371" s="190"/>
      <c r="F371" s="190"/>
      <c r="G371" s="190"/>
      <c r="H371" s="190"/>
    </row>
    <row r="372" spans="2:8" x14ac:dyDescent="0.3">
      <c r="D372" s="135" t="s">
        <v>334</v>
      </c>
      <c r="E372" s="135"/>
      <c r="F372" s="135" t="s">
        <v>335</v>
      </c>
      <c r="G372" s="99"/>
      <c r="H372" s="135" t="s">
        <v>336</v>
      </c>
    </row>
    <row r="374" spans="2:8" ht="36" customHeight="1" x14ac:dyDescent="0.3">
      <c r="B374" s="104" t="s">
        <v>137</v>
      </c>
      <c r="C374" s="56"/>
      <c r="D374" s="137" t="e">
        <f>IF(ISBLANK(#REF!),"",#REF!)</f>
        <v>#REF!</v>
      </c>
      <c r="E374" s="47"/>
      <c r="F374" s="137" t="e">
        <f>IF(ISBLANK(#REF!),"",#REF!)</f>
        <v>#REF!</v>
      </c>
      <c r="H374" s="137" t="e">
        <f>IF(ISBLANK(#REF!),"",#REF!)</f>
        <v>#REF!</v>
      </c>
    </row>
    <row r="375" spans="2:8" x14ac:dyDescent="0.3">
      <c r="B375" s="105"/>
      <c r="C375" s="61"/>
      <c r="E375" s="62"/>
    </row>
    <row r="376" spans="2:8" x14ac:dyDescent="0.3">
      <c r="B376" s="104" t="s">
        <v>140</v>
      </c>
      <c r="C376" s="56"/>
      <c r="D376" s="141" t="e">
        <f>IF(ISBLANK(#REF!),"",#REF!)</f>
        <v>#REF!</v>
      </c>
      <c r="E376" s="63"/>
      <c r="F376" s="141" t="e">
        <f>IF(ISBLANK(#REF!),"",#REF!)</f>
        <v>#REF!</v>
      </c>
      <c r="H376" s="141" t="e">
        <f>IF(ISBLANK(#REF!),"",#REF!)</f>
        <v>#REF!</v>
      </c>
    </row>
    <row r="377" spans="2:8" x14ac:dyDescent="0.3">
      <c r="E377" s="62"/>
    </row>
    <row r="378" spans="2:8" x14ac:dyDescent="0.3">
      <c r="D378" s="135" t="s">
        <v>337</v>
      </c>
      <c r="E378" s="135"/>
      <c r="F378" s="135" t="s">
        <v>338</v>
      </c>
      <c r="G378" s="99"/>
      <c r="H378" s="135" t="s">
        <v>374</v>
      </c>
    </row>
    <row r="379" spans="2:8" x14ac:dyDescent="0.3">
      <c r="E379" s="62"/>
    </row>
    <row r="380" spans="2:8" ht="36" customHeight="1" x14ac:dyDescent="0.3">
      <c r="B380" s="104" t="s">
        <v>137</v>
      </c>
      <c r="C380" s="56"/>
      <c r="D380" s="137" t="e">
        <f>IF(ISBLANK(#REF!),"",#REF!)</f>
        <v>#REF!</v>
      </c>
      <c r="E380" s="47"/>
      <c r="F380" s="137" t="e">
        <f>IF(ISBLANK(#REF!),"",#REF!)</f>
        <v>#REF!</v>
      </c>
      <c r="H380" s="137" t="e">
        <f>IF(ISBLANK(#REF!),"",#REF!)</f>
        <v>#REF!</v>
      </c>
    </row>
    <row r="381" spans="2:8" x14ac:dyDescent="0.3">
      <c r="B381" s="105"/>
      <c r="C381" s="61"/>
      <c r="E381" s="62"/>
    </row>
    <row r="382" spans="2:8" x14ac:dyDescent="0.3">
      <c r="B382" s="104" t="s">
        <v>140</v>
      </c>
      <c r="C382" s="56"/>
      <c r="D382" s="141" t="e">
        <f>IF(ISBLANK(#REF!),"",#REF!)</f>
        <v>#REF!</v>
      </c>
      <c r="E382" s="63"/>
      <c r="F382" s="141" t="e">
        <f>IF(ISBLANK(#REF!),"",#REF!)</f>
        <v>#REF!</v>
      </c>
      <c r="H382" s="141" t="e">
        <f>IF(ISBLANK(#REF!),"",#REF!)</f>
        <v>#REF!</v>
      </c>
    </row>
    <row r="383" spans="2:8" x14ac:dyDescent="0.3">
      <c r="E383" s="62"/>
    </row>
    <row r="384" spans="2:8" ht="22.8" x14ac:dyDescent="0.3">
      <c r="D384" s="181" t="s">
        <v>379</v>
      </c>
      <c r="E384" s="181"/>
      <c r="F384" s="181"/>
      <c r="G384" s="181"/>
      <c r="H384" s="181"/>
    </row>
    <row r="386" spans="2:9" x14ac:dyDescent="0.3">
      <c r="B386" s="117" t="s">
        <v>375</v>
      </c>
      <c r="D386" s="182"/>
      <c r="E386" s="183"/>
      <c r="F386" s="183"/>
      <c r="G386" s="183"/>
      <c r="H386" s="184"/>
      <c r="I386" s="9" t="str">
        <f>CONCATENATE(LEN(D386)," of 500 characters")</f>
        <v>0 of 500 characters</v>
      </c>
    </row>
    <row r="387" spans="2:9" x14ac:dyDescent="0.3">
      <c r="E387" s="62"/>
    </row>
    <row r="388" spans="2:9" x14ac:dyDescent="0.3">
      <c r="B388" s="117" t="s">
        <v>376</v>
      </c>
      <c r="D388" s="182"/>
      <c r="E388" s="183"/>
      <c r="F388" s="183"/>
      <c r="G388" s="183"/>
      <c r="H388" s="184"/>
      <c r="I388" s="9" t="str">
        <f>CONCATENATE(LEN(D388)," of 500 characters")</f>
        <v>0 of 500 characters</v>
      </c>
    </row>
    <row r="389" spans="2:9" ht="15" thickBot="1" x14ac:dyDescent="0.35">
      <c r="E389" s="62"/>
    </row>
    <row r="390" spans="2:9" ht="15.6" thickTop="1" thickBot="1" x14ac:dyDescent="0.35">
      <c r="B390" s="117" t="s">
        <v>377</v>
      </c>
      <c r="D390" s="3"/>
      <c r="E390" s="47"/>
      <c r="I390" s="9"/>
    </row>
    <row r="391" spans="2:9" ht="15" thickTop="1" x14ac:dyDescent="0.3">
      <c r="E391" s="62"/>
    </row>
    <row r="392" spans="2:9" x14ac:dyDescent="0.3">
      <c r="B392" s="117" t="s">
        <v>378</v>
      </c>
      <c r="D392" s="182"/>
      <c r="E392" s="183"/>
      <c r="F392" s="183"/>
      <c r="G392" s="183"/>
      <c r="H392" s="184"/>
      <c r="I392" s="9" t="str">
        <f>CONCATENATE(LEN(D392)," of 500 characters")</f>
        <v>0 of 500 characters</v>
      </c>
    </row>
    <row r="394" spans="2:9" ht="4.95" customHeight="1" x14ac:dyDescent="0.3">
      <c r="B394" s="144"/>
      <c r="C394" s="143"/>
      <c r="D394" s="143"/>
      <c r="E394" s="143"/>
      <c r="F394" s="143"/>
      <c r="G394" s="143"/>
      <c r="H394" s="143"/>
    </row>
    <row r="395" spans="2:9" s="18" customFormat="1" ht="4.95" customHeight="1" x14ac:dyDescent="0.3">
      <c r="B395" s="101"/>
      <c r="D395" s="40"/>
      <c r="E395" s="23"/>
      <c r="F395" s="24"/>
    </row>
    <row r="396" spans="2:9" x14ac:dyDescent="0.3">
      <c r="C396" s="30"/>
      <c r="D396" s="34"/>
      <c r="E396" s="36"/>
      <c r="F396" s="30"/>
    </row>
    <row r="397" spans="2:9" ht="4.95" customHeight="1" x14ac:dyDescent="0.3">
      <c r="C397" s="30"/>
      <c r="D397" s="34"/>
      <c r="E397" s="36"/>
      <c r="F397" s="30"/>
    </row>
    <row r="398" spans="2:9" ht="4.95" customHeight="1" x14ac:dyDescent="0.3">
      <c r="B398" s="144"/>
      <c r="C398" s="143"/>
      <c r="D398" s="143"/>
      <c r="E398" s="143"/>
      <c r="F398" s="143"/>
      <c r="G398" s="143"/>
      <c r="H398" s="143"/>
    </row>
    <row r="403" spans="9:14" ht="15" hidden="1" x14ac:dyDescent="0.25">
      <c r="I403" s="18"/>
      <c r="J403" s="18"/>
      <c r="K403" s="18"/>
      <c r="L403" s="18"/>
      <c r="M403" s="18"/>
      <c r="N403" s="18"/>
    </row>
    <row r="404" spans="9:14" ht="15" hidden="1" x14ac:dyDescent="0.25"/>
    <row r="405" spans="9:14" ht="15" hidden="1" x14ac:dyDescent="0.25"/>
    <row r="406" spans="9:14" ht="15" hidden="1" x14ac:dyDescent="0.25"/>
    <row r="407" spans="9:14" ht="15" hidden="1" x14ac:dyDescent="0.25"/>
    <row r="408" spans="9:14" ht="15" hidden="1" x14ac:dyDescent="0.25"/>
    <row r="409" spans="9:14" ht="15" hidden="1" x14ac:dyDescent="0.25"/>
    <row r="410" spans="9:14" ht="15" hidden="1" x14ac:dyDescent="0.25"/>
    <row r="411" spans="9:14" ht="15" hidden="1" x14ac:dyDescent="0.25"/>
    <row r="412" spans="9:14" ht="15" hidden="1" x14ac:dyDescent="0.25"/>
    <row r="413" spans="9:14" ht="15" hidden="1" x14ac:dyDescent="0.25"/>
    <row r="414" spans="9:14" ht="15" hidden="1" x14ac:dyDescent="0.25"/>
    <row r="415" spans="9:14" ht="15" hidden="1" x14ac:dyDescent="0.25"/>
    <row r="416" spans="9:14" ht="15" hidden="1" x14ac:dyDescent="0.25"/>
    <row r="417" spans="2:2" ht="15" hidden="1" x14ac:dyDescent="0.25"/>
    <row r="418" spans="2:2" ht="15" hidden="1" x14ac:dyDescent="0.25"/>
    <row r="419" spans="2:2" ht="15" hidden="1" x14ac:dyDescent="0.25"/>
    <row r="420" spans="2:2" ht="15" hidden="1" x14ac:dyDescent="0.25"/>
    <row r="421" spans="2:2" ht="15" hidden="1" x14ac:dyDescent="0.25"/>
    <row r="422" spans="2:2" ht="15" hidden="1" x14ac:dyDescent="0.25"/>
    <row r="423" spans="2:2" ht="15" hidden="1" x14ac:dyDescent="0.25"/>
    <row r="424" spans="2:2" ht="15" hidden="1" x14ac:dyDescent="0.25"/>
    <row r="425" spans="2:2" ht="15" hidden="1" x14ac:dyDescent="0.25"/>
    <row r="426" spans="2:2" ht="15" hidden="1" x14ac:dyDescent="0.25"/>
    <row r="427" spans="2:2" ht="15" hidden="1" x14ac:dyDescent="0.25"/>
    <row r="428" spans="2:2" ht="15" hidden="1" x14ac:dyDescent="0.25">
      <c r="B428" s="118" t="s">
        <v>353</v>
      </c>
    </row>
    <row r="429" spans="2:2" ht="15" hidden="1" x14ac:dyDescent="0.25">
      <c r="B429" s="119" t="s">
        <v>397</v>
      </c>
    </row>
    <row r="430" spans="2:2" ht="15" hidden="1" x14ac:dyDescent="0.25">
      <c r="B430" s="101" t="s">
        <v>359</v>
      </c>
    </row>
    <row r="431" spans="2:2" ht="15" hidden="1" x14ac:dyDescent="0.25"/>
    <row r="432" spans="2:2" ht="15" hidden="1" x14ac:dyDescent="0.25"/>
    <row r="433" spans="2:3" ht="15" hidden="1" x14ac:dyDescent="0.25">
      <c r="B433" s="118" t="s">
        <v>148</v>
      </c>
      <c r="C433" s="69"/>
    </row>
    <row r="434" spans="2:3" ht="15" hidden="1" x14ac:dyDescent="0.25">
      <c r="B434" s="101" t="s">
        <v>142</v>
      </c>
      <c r="C434" s="18"/>
    </row>
    <row r="435" spans="2:3" ht="15" hidden="1" x14ac:dyDescent="0.25">
      <c r="B435" s="101" t="s">
        <v>143</v>
      </c>
      <c r="C435" s="18"/>
    </row>
    <row r="436" spans="2:3" ht="15" hidden="1" x14ac:dyDescent="0.25">
      <c r="B436" s="101" t="s">
        <v>144</v>
      </c>
      <c r="C436" s="18"/>
    </row>
    <row r="437" spans="2:3" ht="15" hidden="1" x14ac:dyDescent="0.25">
      <c r="B437" s="101" t="s">
        <v>145</v>
      </c>
      <c r="C437" s="18"/>
    </row>
    <row r="438" spans="2:3" ht="15" hidden="1" x14ac:dyDescent="0.25">
      <c r="B438" s="101" t="s">
        <v>146</v>
      </c>
      <c r="C438" s="18"/>
    </row>
    <row r="439" spans="2:3" ht="15" hidden="1" x14ac:dyDescent="0.25">
      <c r="B439" s="101" t="s">
        <v>147</v>
      </c>
      <c r="C439" s="18"/>
    </row>
    <row r="440" spans="2:3" ht="15" hidden="1" x14ac:dyDescent="0.25"/>
    <row r="441" spans="2:3" ht="15" hidden="1" x14ac:dyDescent="0.25">
      <c r="B441" s="118" t="s">
        <v>149</v>
      </c>
      <c r="C441" s="69"/>
    </row>
    <row r="442" spans="2:3" ht="15" hidden="1" x14ac:dyDescent="0.25">
      <c r="B442" s="101" t="s">
        <v>150</v>
      </c>
      <c r="C442" s="18"/>
    </row>
    <row r="443" spans="2:3" ht="15" hidden="1" x14ac:dyDescent="0.25">
      <c r="B443" s="101" t="s">
        <v>151</v>
      </c>
      <c r="C443" s="18"/>
    </row>
    <row r="444" spans="2:3" ht="15" hidden="1" x14ac:dyDescent="0.25"/>
    <row r="445" spans="2:3" ht="15" hidden="1" x14ac:dyDescent="0.25">
      <c r="B445" s="118" t="s">
        <v>156</v>
      </c>
      <c r="C445" s="69"/>
    </row>
    <row r="446" spans="2:3" ht="15" hidden="1" x14ac:dyDescent="0.25">
      <c r="B446" s="120" t="s">
        <v>152</v>
      </c>
      <c r="C446" s="71"/>
    </row>
    <row r="447" spans="2:3" ht="15" hidden="1" x14ac:dyDescent="0.25">
      <c r="B447" s="120" t="s">
        <v>153</v>
      </c>
      <c r="C447" s="71"/>
    </row>
    <row r="448" spans="2:3" ht="15" hidden="1" x14ac:dyDescent="0.25">
      <c r="B448" s="120" t="s">
        <v>154</v>
      </c>
      <c r="C448" s="71"/>
    </row>
    <row r="449" spans="2:3" ht="15" hidden="1" x14ac:dyDescent="0.25">
      <c r="B449" s="120" t="s">
        <v>155</v>
      </c>
      <c r="C449" s="71"/>
    </row>
    <row r="450" spans="2:3" ht="15" hidden="1" x14ac:dyDescent="0.25"/>
    <row r="451" spans="2:3" ht="15" hidden="1" x14ac:dyDescent="0.25">
      <c r="B451" s="121" t="s">
        <v>183</v>
      </c>
      <c r="C451" s="72"/>
    </row>
    <row r="452" spans="2:3" ht="15" hidden="1" x14ac:dyDescent="0.25">
      <c r="B452" s="122" t="s">
        <v>157</v>
      </c>
      <c r="C452" s="73"/>
    </row>
    <row r="453" spans="2:3" ht="15" hidden="1" x14ac:dyDescent="0.25">
      <c r="B453" s="122" t="s">
        <v>158</v>
      </c>
      <c r="C453" s="73"/>
    </row>
    <row r="454" spans="2:3" ht="15" hidden="1" x14ac:dyDescent="0.25">
      <c r="B454" s="122" t="s">
        <v>159</v>
      </c>
      <c r="C454" s="73"/>
    </row>
    <row r="455" spans="2:3" ht="15" hidden="1" x14ac:dyDescent="0.25">
      <c r="B455" s="122" t="s">
        <v>160</v>
      </c>
      <c r="C455" s="73"/>
    </row>
    <row r="456" spans="2:3" ht="15" hidden="1" x14ac:dyDescent="0.25">
      <c r="B456" s="122" t="s">
        <v>161</v>
      </c>
      <c r="C456" s="73"/>
    </row>
    <row r="457" spans="2:3" ht="15" hidden="1" x14ac:dyDescent="0.25">
      <c r="B457" s="120" t="s">
        <v>162</v>
      </c>
      <c r="C457" s="74"/>
    </row>
    <row r="458" spans="2:3" ht="15" hidden="1" x14ac:dyDescent="0.25">
      <c r="B458" s="120" t="s">
        <v>163</v>
      </c>
      <c r="C458" s="74"/>
    </row>
    <row r="459" spans="2:3" ht="15" hidden="1" x14ac:dyDescent="0.25">
      <c r="B459" s="120" t="s">
        <v>164</v>
      </c>
      <c r="C459" s="74"/>
    </row>
    <row r="460" spans="2:3" ht="15" hidden="1" x14ac:dyDescent="0.25">
      <c r="B460" s="120" t="s">
        <v>165</v>
      </c>
      <c r="C460" s="74"/>
    </row>
    <row r="461" spans="2:3" ht="15" hidden="1" x14ac:dyDescent="0.25">
      <c r="B461" s="122" t="s">
        <v>166</v>
      </c>
      <c r="C461" s="73"/>
    </row>
    <row r="462" spans="2:3" ht="15" hidden="1" x14ac:dyDescent="0.25">
      <c r="B462" s="120" t="s">
        <v>167</v>
      </c>
      <c r="C462" s="74"/>
    </row>
    <row r="463" spans="2:3" ht="15" hidden="1" x14ac:dyDescent="0.25">
      <c r="B463" s="120" t="s">
        <v>168</v>
      </c>
      <c r="C463" s="74"/>
    </row>
    <row r="464" spans="2:3" ht="15" hidden="1" x14ac:dyDescent="0.25">
      <c r="B464" s="120" t="s">
        <v>169</v>
      </c>
      <c r="C464" s="74"/>
    </row>
    <row r="465" spans="2:3" ht="15" hidden="1" x14ac:dyDescent="0.25">
      <c r="B465" s="120" t="s">
        <v>170</v>
      </c>
      <c r="C465" s="74"/>
    </row>
    <row r="466" spans="2:3" ht="15" hidden="1" x14ac:dyDescent="0.25">
      <c r="B466" s="122" t="s">
        <v>171</v>
      </c>
      <c r="C466" s="73"/>
    </row>
    <row r="467" spans="2:3" ht="15" hidden="1" x14ac:dyDescent="0.25">
      <c r="B467" s="122" t="s">
        <v>172</v>
      </c>
      <c r="C467" s="73"/>
    </row>
    <row r="468" spans="2:3" ht="15" hidden="1" x14ac:dyDescent="0.25">
      <c r="B468" s="122" t="s">
        <v>173</v>
      </c>
      <c r="C468" s="73"/>
    </row>
    <row r="469" spans="2:3" ht="15" hidden="1" x14ac:dyDescent="0.25">
      <c r="B469" s="120" t="s">
        <v>174</v>
      </c>
      <c r="C469" s="74"/>
    </row>
    <row r="470" spans="2:3" ht="15" hidden="1" x14ac:dyDescent="0.25">
      <c r="B470" s="120" t="s">
        <v>175</v>
      </c>
      <c r="C470" s="74"/>
    </row>
    <row r="471" spans="2:3" ht="15" hidden="1" x14ac:dyDescent="0.25">
      <c r="B471" s="120" t="s">
        <v>176</v>
      </c>
      <c r="C471" s="74"/>
    </row>
    <row r="472" spans="2:3" ht="15" hidden="1" x14ac:dyDescent="0.25">
      <c r="B472" s="120" t="s">
        <v>177</v>
      </c>
      <c r="C472" s="74"/>
    </row>
    <row r="473" spans="2:3" ht="15" hidden="1" x14ac:dyDescent="0.25">
      <c r="B473" s="120" t="s">
        <v>178</v>
      </c>
      <c r="C473" s="74"/>
    </row>
    <row r="474" spans="2:3" ht="15" hidden="1" x14ac:dyDescent="0.25">
      <c r="B474" s="120" t="s">
        <v>179</v>
      </c>
      <c r="C474" s="74"/>
    </row>
    <row r="475" spans="2:3" ht="15" hidden="1" x14ac:dyDescent="0.25">
      <c r="B475" s="120" t="s">
        <v>180</v>
      </c>
      <c r="C475" s="74"/>
    </row>
    <row r="476" spans="2:3" ht="15" hidden="1" x14ac:dyDescent="0.25">
      <c r="B476" s="122" t="s">
        <v>181</v>
      </c>
      <c r="C476" s="73"/>
    </row>
    <row r="477" spans="2:3" ht="15" hidden="1" x14ac:dyDescent="0.25">
      <c r="B477" s="122" t="s">
        <v>182</v>
      </c>
      <c r="C477" s="73"/>
    </row>
    <row r="478" spans="2:3" ht="15" hidden="1" x14ac:dyDescent="0.25"/>
    <row r="479" spans="2:3" ht="15" hidden="1" x14ac:dyDescent="0.25">
      <c r="B479" s="123" t="s">
        <v>185</v>
      </c>
      <c r="C479" s="75"/>
    </row>
    <row r="480" spans="2:3" ht="15" hidden="1" x14ac:dyDescent="0.25">
      <c r="B480" s="124" t="s">
        <v>184</v>
      </c>
      <c r="C480" s="76"/>
    </row>
    <row r="481" spans="2:3" ht="15" hidden="1" x14ac:dyDescent="0.25">
      <c r="B481" s="124">
        <v>2</v>
      </c>
      <c r="C481" s="76"/>
    </row>
    <row r="482" spans="2:3" ht="15" hidden="1" x14ac:dyDescent="0.25">
      <c r="B482" s="124">
        <v>3</v>
      </c>
      <c r="C482" s="76"/>
    </row>
    <row r="483" spans="2:3" ht="15" hidden="1" x14ac:dyDescent="0.25">
      <c r="B483" s="124">
        <v>4</v>
      </c>
      <c r="C483" s="76"/>
    </row>
    <row r="484" spans="2:3" ht="15" hidden="1" x14ac:dyDescent="0.25">
      <c r="B484" s="99" t="s">
        <v>186</v>
      </c>
    </row>
    <row r="485" spans="2:3" ht="15" hidden="1" x14ac:dyDescent="0.25"/>
    <row r="486" spans="2:3" ht="15" hidden="1" x14ac:dyDescent="0.25">
      <c r="B486" s="125" t="s">
        <v>196</v>
      </c>
      <c r="C486" s="77"/>
    </row>
    <row r="487" spans="2:3" ht="15" hidden="1" x14ac:dyDescent="0.25">
      <c r="B487" s="126" t="s">
        <v>187</v>
      </c>
      <c r="C487" s="78"/>
    </row>
    <row r="488" spans="2:3" ht="15" hidden="1" x14ac:dyDescent="0.25">
      <c r="B488" s="126" t="s">
        <v>188</v>
      </c>
      <c r="C488" s="78"/>
    </row>
    <row r="489" spans="2:3" ht="15" hidden="1" x14ac:dyDescent="0.25">
      <c r="B489" s="126" t="s">
        <v>345</v>
      </c>
      <c r="C489" s="78"/>
    </row>
    <row r="490" spans="2:3" ht="15" hidden="1" x14ac:dyDescent="0.25">
      <c r="B490" s="126" t="s">
        <v>346</v>
      </c>
      <c r="C490" s="78"/>
    </row>
    <row r="491" spans="2:3" ht="15" hidden="1" x14ac:dyDescent="0.25">
      <c r="B491" s="126" t="s">
        <v>189</v>
      </c>
      <c r="C491" s="78"/>
    </row>
    <row r="492" spans="2:3" ht="15" hidden="1" x14ac:dyDescent="0.25">
      <c r="B492" s="126" t="s">
        <v>347</v>
      </c>
      <c r="C492" s="78"/>
    </row>
    <row r="493" spans="2:3" ht="15" hidden="1" x14ac:dyDescent="0.25">
      <c r="B493" s="126" t="s">
        <v>348</v>
      </c>
      <c r="C493" s="78"/>
    </row>
    <row r="494" spans="2:3" ht="15" hidden="1" x14ac:dyDescent="0.25">
      <c r="B494" s="126" t="s">
        <v>190</v>
      </c>
      <c r="C494" s="78"/>
    </row>
    <row r="495" spans="2:3" ht="15" hidden="1" x14ac:dyDescent="0.25">
      <c r="B495" s="126" t="s">
        <v>349</v>
      </c>
      <c r="C495" s="78"/>
    </row>
    <row r="496" spans="2:3" ht="15" hidden="1" x14ac:dyDescent="0.25">
      <c r="B496" s="126" t="s">
        <v>191</v>
      </c>
      <c r="C496" s="78"/>
    </row>
    <row r="497" spans="2:3" ht="15" hidden="1" x14ac:dyDescent="0.25">
      <c r="B497" s="126" t="s">
        <v>350</v>
      </c>
      <c r="C497" s="78"/>
    </row>
    <row r="498" spans="2:3" ht="15" hidden="1" x14ac:dyDescent="0.25">
      <c r="B498" s="126" t="s">
        <v>192</v>
      </c>
      <c r="C498" s="78"/>
    </row>
    <row r="499" spans="2:3" ht="15" hidden="1" x14ac:dyDescent="0.25">
      <c r="B499" s="126" t="s">
        <v>193</v>
      </c>
      <c r="C499" s="78"/>
    </row>
    <row r="500" spans="2:3" ht="15" hidden="1" x14ac:dyDescent="0.25">
      <c r="B500" s="126" t="s">
        <v>351</v>
      </c>
      <c r="C500" s="78"/>
    </row>
    <row r="501" spans="2:3" ht="15" hidden="1" x14ac:dyDescent="0.25">
      <c r="B501" s="126" t="s">
        <v>352</v>
      </c>
      <c r="C501" s="78"/>
    </row>
    <row r="502" spans="2:3" ht="15" hidden="1" x14ac:dyDescent="0.25">
      <c r="B502" s="126" t="s">
        <v>194</v>
      </c>
      <c r="C502" s="78"/>
    </row>
    <row r="503" spans="2:3" ht="15" hidden="1" x14ac:dyDescent="0.25">
      <c r="B503" s="126" t="s">
        <v>195</v>
      </c>
      <c r="C503" s="78"/>
    </row>
    <row r="504" spans="2:3" ht="15" hidden="1" x14ac:dyDescent="0.25">
      <c r="B504" s="126"/>
      <c r="C504" s="78"/>
    </row>
    <row r="505" spans="2:3" ht="15" hidden="1" x14ac:dyDescent="0.25"/>
    <row r="506" spans="2:3" ht="15" hidden="1" x14ac:dyDescent="0.25">
      <c r="B506" s="123" t="s">
        <v>252</v>
      </c>
      <c r="C506" s="75"/>
    </row>
    <row r="507" spans="2:3" ht="15" hidden="1" x14ac:dyDescent="0.25">
      <c r="B507" s="127" t="s">
        <v>197</v>
      </c>
      <c r="C507" s="79"/>
    </row>
    <row r="508" spans="2:3" ht="15" hidden="1" x14ac:dyDescent="0.25">
      <c r="B508" s="127" t="s">
        <v>198</v>
      </c>
      <c r="C508" s="79"/>
    </row>
    <row r="509" spans="2:3" ht="15" hidden="1" x14ac:dyDescent="0.25">
      <c r="B509" s="127" t="s">
        <v>199</v>
      </c>
      <c r="C509" s="79"/>
    </row>
    <row r="510" spans="2:3" ht="15" hidden="1" x14ac:dyDescent="0.25">
      <c r="B510" s="127" t="s">
        <v>200</v>
      </c>
      <c r="C510" s="79"/>
    </row>
    <row r="511" spans="2:3" ht="15" hidden="1" x14ac:dyDescent="0.25">
      <c r="B511" s="127" t="s">
        <v>201</v>
      </c>
      <c r="C511" s="79"/>
    </row>
    <row r="512" spans="2:3" ht="15" hidden="1" x14ac:dyDescent="0.25">
      <c r="B512" s="127" t="s">
        <v>202</v>
      </c>
      <c r="C512" s="79"/>
    </row>
    <row r="513" spans="2:3" ht="15" hidden="1" x14ac:dyDescent="0.25">
      <c r="B513" s="127" t="s">
        <v>203</v>
      </c>
      <c r="C513" s="79"/>
    </row>
    <row r="514" spans="2:3" ht="15" hidden="1" x14ac:dyDescent="0.25">
      <c r="B514" s="127" t="s">
        <v>204</v>
      </c>
      <c r="C514" s="79"/>
    </row>
    <row r="515" spans="2:3" ht="15" hidden="1" x14ac:dyDescent="0.25">
      <c r="B515" s="127" t="s">
        <v>205</v>
      </c>
      <c r="C515" s="79"/>
    </row>
    <row r="516" spans="2:3" ht="15" hidden="1" x14ac:dyDescent="0.25">
      <c r="B516" s="127" t="s">
        <v>206</v>
      </c>
      <c r="C516" s="79"/>
    </row>
    <row r="517" spans="2:3" ht="15" hidden="1" x14ac:dyDescent="0.25">
      <c r="B517" s="127" t="s">
        <v>207</v>
      </c>
      <c r="C517" s="79"/>
    </row>
    <row r="518" spans="2:3" ht="15" hidden="1" x14ac:dyDescent="0.25">
      <c r="B518" s="127" t="s">
        <v>208</v>
      </c>
      <c r="C518" s="79"/>
    </row>
    <row r="519" spans="2:3" ht="15" hidden="1" x14ac:dyDescent="0.25">
      <c r="B519" s="127" t="s">
        <v>209</v>
      </c>
      <c r="C519" s="79"/>
    </row>
    <row r="520" spans="2:3" ht="15" hidden="1" x14ac:dyDescent="0.25">
      <c r="B520" s="127" t="s">
        <v>210</v>
      </c>
      <c r="C520" s="79"/>
    </row>
    <row r="521" spans="2:3" ht="15" hidden="1" x14ac:dyDescent="0.25">
      <c r="B521" s="127" t="s">
        <v>211</v>
      </c>
      <c r="C521" s="79"/>
    </row>
    <row r="522" spans="2:3" ht="15" hidden="1" x14ac:dyDescent="0.25">
      <c r="B522" s="127" t="s">
        <v>212</v>
      </c>
      <c r="C522" s="79"/>
    </row>
    <row r="523" spans="2:3" ht="15" hidden="1" x14ac:dyDescent="0.25">
      <c r="B523" s="127" t="s">
        <v>213</v>
      </c>
      <c r="C523" s="79"/>
    </row>
    <row r="524" spans="2:3" ht="15" hidden="1" x14ac:dyDescent="0.25">
      <c r="B524" s="127" t="s">
        <v>214</v>
      </c>
      <c r="C524" s="79"/>
    </row>
    <row r="525" spans="2:3" ht="15" hidden="1" x14ac:dyDescent="0.25">
      <c r="B525" s="127" t="s">
        <v>215</v>
      </c>
      <c r="C525" s="79"/>
    </row>
    <row r="526" spans="2:3" ht="15" hidden="1" x14ac:dyDescent="0.25">
      <c r="B526" s="127" t="s">
        <v>216</v>
      </c>
      <c r="C526" s="79"/>
    </row>
    <row r="527" spans="2:3" ht="15" hidden="1" x14ac:dyDescent="0.25">
      <c r="B527" s="127" t="s">
        <v>217</v>
      </c>
      <c r="C527" s="79"/>
    </row>
    <row r="528" spans="2:3" ht="15" hidden="1" x14ac:dyDescent="0.25">
      <c r="B528" s="127" t="s">
        <v>218</v>
      </c>
      <c r="C528" s="79"/>
    </row>
    <row r="529" spans="2:3" ht="15" hidden="1" x14ac:dyDescent="0.25">
      <c r="B529" s="127" t="s">
        <v>219</v>
      </c>
      <c r="C529" s="79"/>
    </row>
    <row r="530" spans="2:3" ht="15" hidden="1" x14ac:dyDescent="0.25">
      <c r="B530" s="127" t="s">
        <v>220</v>
      </c>
      <c r="C530" s="79"/>
    </row>
    <row r="531" spans="2:3" ht="15" hidden="1" x14ac:dyDescent="0.25">
      <c r="B531" s="127" t="s">
        <v>221</v>
      </c>
      <c r="C531" s="79"/>
    </row>
    <row r="532" spans="2:3" ht="15" hidden="1" x14ac:dyDescent="0.25">
      <c r="B532" s="127" t="s">
        <v>222</v>
      </c>
      <c r="C532" s="79"/>
    </row>
    <row r="533" spans="2:3" ht="15" hidden="1" x14ac:dyDescent="0.25">
      <c r="B533" s="127" t="s">
        <v>223</v>
      </c>
      <c r="C533" s="79"/>
    </row>
    <row r="534" spans="2:3" ht="15" hidden="1" x14ac:dyDescent="0.25">
      <c r="B534" s="127" t="s">
        <v>224</v>
      </c>
      <c r="C534" s="79"/>
    </row>
    <row r="535" spans="2:3" ht="15" hidden="1" x14ac:dyDescent="0.25">
      <c r="B535" s="127" t="s">
        <v>225</v>
      </c>
      <c r="C535" s="79"/>
    </row>
    <row r="536" spans="2:3" ht="15" hidden="1" x14ac:dyDescent="0.25">
      <c r="B536" s="127" t="s">
        <v>226</v>
      </c>
      <c r="C536" s="79"/>
    </row>
    <row r="537" spans="2:3" ht="15" hidden="1" x14ac:dyDescent="0.25">
      <c r="B537" s="127" t="s">
        <v>227</v>
      </c>
      <c r="C537" s="79"/>
    </row>
    <row r="538" spans="2:3" ht="15" hidden="1" x14ac:dyDescent="0.25">
      <c r="B538" s="127" t="s">
        <v>228</v>
      </c>
      <c r="C538" s="79"/>
    </row>
    <row r="539" spans="2:3" ht="15" hidden="1" x14ac:dyDescent="0.25">
      <c r="B539" s="127" t="s">
        <v>229</v>
      </c>
      <c r="C539" s="79"/>
    </row>
    <row r="540" spans="2:3" ht="15" hidden="1" x14ac:dyDescent="0.25">
      <c r="B540" s="127" t="s">
        <v>230</v>
      </c>
      <c r="C540" s="79"/>
    </row>
    <row r="541" spans="2:3" ht="15" hidden="1" x14ac:dyDescent="0.25">
      <c r="B541" s="127" t="s">
        <v>231</v>
      </c>
      <c r="C541" s="79"/>
    </row>
    <row r="542" spans="2:3" ht="15" hidden="1" x14ac:dyDescent="0.25">
      <c r="B542" s="127" t="s">
        <v>232</v>
      </c>
      <c r="C542" s="79"/>
    </row>
    <row r="543" spans="2:3" ht="15" hidden="1" x14ac:dyDescent="0.25">
      <c r="B543" s="127" t="s">
        <v>233</v>
      </c>
      <c r="C543" s="79"/>
    </row>
    <row r="544" spans="2:3" ht="15" hidden="1" x14ac:dyDescent="0.25">
      <c r="B544" s="127" t="s">
        <v>234</v>
      </c>
      <c r="C544" s="79"/>
    </row>
    <row r="545" spans="2:3" ht="15" hidden="1" x14ac:dyDescent="0.25">
      <c r="B545" s="127" t="s">
        <v>235</v>
      </c>
      <c r="C545" s="79"/>
    </row>
    <row r="546" spans="2:3" ht="15" hidden="1" x14ac:dyDescent="0.25">
      <c r="B546" s="127" t="s">
        <v>236</v>
      </c>
      <c r="C546" s="79"/>
    </row>
    <row r="547" spans="2:3" ht="15" hidden="1" x14ac:dyDescent="0.25">
      <c r="B547" s="127" t="s">
        <v>237</v>
      </c>
      <c r="C547" s="79"/>
    </row>
    <row r="548" spans="2:3" ht="15" hidden="1" x14ac:dyDescent="0.25">
      <c r="B548" s="127" t="s">
        <v>238</v>
      </c>
      <c r="C548" s="79"/>
    </row>
    <row r="549" spans="2:3" ht="15" hidden="1" x14ac:dyDescent="0.25">
      <c r="B549" s="127" t="s">
        <v>158</v>
      </c>
      <c r="C549" s="79"/>
    </row>
    <row r="550" spans="2:3" ht="15" hidden="1" x14ac:dyDescent="0.25">
      <c r="B550" s="127" t="s">
        <v>239</v>
      </c>
      <c r="C550" s="79"/>
    </row>
    <row r="551" spans="2:3" ht="15" hidden="1" x14ac:dyDescent="0.25">
      <c r="B551" s="127" t="s">
        <v>240</v>
      </c>
      <c r="C551" s="79"/>
    </row>
    <row r="552" spans="2:3" ht="15" hidden="1" x14ac:dyDescent="0.25">
      <c r="B552" s="127" t="s">
        <v>241</v>
      </c>
      <c r="C552" s="79"/>
    </row>
    <row r="553" spans="2:3" ht="15" hidden="1" x14ac:dyDescent="0.25">
      <c r="B553" s="127" t="s">
        <v>242</v>
      </c>
      <c r="C553" s="79"/>
    </row>
    <row r="554" spans="2:3" ht="15" hidden="1" x14ac:dyDescent="0.25">
      <c r="B554" s="127" t="s">
        <v>243</v>
      </c>
      <c r="C554" s="79"/>
    </row>
    <row r="555" spans="2:3" ht="15" hidden="1" x14ac:dyDescent="0.25">
      <c r="B555" s="127" t="s">
        <v>244</v>
      </c>
      <c r="C555" s="79"/>
    </row>
    <row r="556" spans="2:3" ht="15" hidden="1" x14ac:dyDescent="0.25">
      <c r="B556" s="127" t="s">
        <v>245</v>
      </c>
      <c r="C556" s="79"/>
    </row>
    <row r="557" spans="2:3" ht="15" hidden="1" x14ac:dyDescent="0.25">
      <c r="B557" s="127" t="s">
        <v>246</v>
      </c>
      <c r="C557" s="79"/>
    </row>
    <row r="558" spans="2:3" ht="15" hidden="1" x14ac:dyDescent="0.25">
      <c r="B558" s="127" t="s">
        <v>247</v>
      </c>
      <c r="C558" s="79"/>
    </row>
    <row r="559" spans="2:3" ht="15" hidden="1" x14ac:dyDescent="0.25">
      <c r="B559" s="127" t="s">
        <v>248</v>
      </c>
      <c r="C559" s="79"/>
    </row>
    <row r="560" spans="2:3" ht="15" hidden="1" x14ac:dyDescent="0.25">
      <c r="B560" s="127" t="s">
        <v>249</v>
      </c>
      <c r="C560" s="79"/>
    </row>
    <row r="561" spans="2:3" ht="15" hidden="1" x14ac:dyDescent="0.25">
      <c r="B561" s="127" t="s">
        <v>250</v>
      </c>
      <c r="C561" s="79"/>
    </row>
    <row r="562" spans="2:3" ht="15" hidden="1" x14ac:dyDescent="0.25">
      <c r="B562" s="127" t="s">
        <v>251</v>
      </c>
      <c r="C562" s="79"/>
    </row>
    <row r="563" spans="2:3" ht="15" hidden="1" x14ac:dyDescent="0.25"/>
    <row r="564" spans="2:3" ht="15" hidden="1" x14ac:dyDescent="0.25">
      <c r="B564" s="125" t="s">
        <v>255</v>
      </c>
      <c r="C564" s="77"/>
    </row>
    <row r="565" spans="2:3" ht="15" hidden="1" x14ac:dyDescent="0.25">
      <c r="B565" s="127" t="s">
        <v>253</v>
      </c>
      <c r="C565" s="79"/>
    </row>
    <row r="566" spans="2:3" ht="15" hidden="1" x14ac:dyDescent="0.25">
      <c r="B566" s="127" t="s">
        <v>254</v>
      </c>
      <c r="C566" s="79"/>
    </row>
    <row r="567" spans="2:3" ht="15" hidden="1" x14ac:dyDescent="0.25"/>
    <row r="568" spans="2:3" ht="15" hidden="1" x14ac:dyDescent="0.25">
      <c r="B568" s="125" t="s">
        <v>269</v>
      </c>
      <c r="C568" s="77"/>
    </row>
    <row r="569" spans="2:3" ht="15" hidden="1" x14ac:dyDescent="0.25">
      <c r="B569" s="128" t="s">
        <v>256</v>
      </c>
      <c r="C569" s="80"/>
    </row>
    <row r="570" spans="2:3" ht="15" hidden="1" x14ac:dyDescent="0.25">
      <c r="B570" s="128" t="s">
        <v>257</v>
      </c>
      <c r="C570" s="80"/>
    </row>
    <row r="571" spans="2:3" ht="15" hidden="1" x14ac:dyDescent="0.25">
      <c r="B571" s="128" t="s">
        <v>258</v>
      </c>
      <c r="C571" s="80"/>
    </row>
    <row r="572" spans="2:3" ht="15" hidden="1" x14ac:dyDescent="0.25">
      <c r="B572" s="128" t="s">
        <v>259</v>
      </c>
      <c r="C572" s="80"/>
    </row>
    <row r="573" spans="2:3" ht="15" hidden="1" x14ac:dyDescent="0.25">
      <c r="B573" s="128" t="s">
        <v>162</v>
      </c>
      <c r="C573" s="80"/>
    </row>
    <row r="574" spans="2:3" ht="15" hidden="1" x14ac:dyDescent="0.25">
      <c r="B574" s="128" t="s">
        <v>260</v>
      </c>
      <c r="C574" s="80"/>
    </row>
    <row r="575" spans="2:3" ht="15" hidden="1" x14ac:dyDescent="0.25">
      <c r="B575" s="128" t="s">
        <v>167</v>
      </c>
      <c r="C575" s="80"/>
    </row>
    <row r="576" spans="2:3" ht="15" hidden="1" x14ac:dyDescent="0.25">
      <c r="B576" s="128" t="s">
        <v>261</v>
      </c>
      <c r="C576" s="80"/>
    </row>
    <row r="577" spans="2:3" ht="15" hidden="1" x14ac:dyDescent="0.25">
      <c r="B577" s="128" t="s">
        <v>262</v>
      </c>
      <c r="C577" s="80"/>
    </row>
    <row r="578" spans="2:3" ht="15" hidden="1" x14ac:dyDescent="0.25">
      <c r="B578" s="128" t="s">
        <v>263</v>
      </c>
      <c r="C578" s="80"/>
    </row>
    <row r="579" spans="2:3" ht="15" hidden="1" x14ac:dyDescent="0.25">
      <c r="B579" s="128" t="s">
        <v>264</v>
      </c>
      <c r="C579" s="80"/>
    </row>
    <row r="580" spans="2:3" ht="15" hidden="1" x14ac:dyDescent="0.25">
      <c r="B580" s="128" t="s">
        <v>265</v>
      </c>
      <c r="C580" s="80"/>
    </row>
    <row r="581" spans="2:3" ht="15" hidden="1" x14ac:dyDescent="0.25">
      <c r="B581" s="128" t="s">
        <v>266</v>
      </c>
      <c r="C581" s="80"/>
    </row>
    <row r="582" spans="2:3" ht="15" hidden="1" x14ac:dyDescent="0.25">
      <c r="B582" s="128" t="s">
        <v>267</v>
      </c>
      <c r="C582" s="80"/>
    </row>
    <row r="583" spans="2:3" ht="15" hidden="1" x14ac:dyDescent="0.25">
      <c r="B583" s="128" t="s">
        <v>268</v>
      </c>
      <c r="C583" s="80"/>
    </row>
    <row r="584" spans="2:3" ht="15" hidden="1" x14ac:dyDescent="0.25"/>
    <row r="585" spans="2:3" ht="15" hidden="1" x14ac:dyDescent="0.25">
      <c r="B585" s="125" t="s">
        <v>289</v>
      </c>
      <c r="C585" s="77"/>
    </row>
    <row r="586" spans="2:3" ht="15" hidden="1" x14ac:dyDescent="0.25">
      <c r="B586" s="127" t="s">
        <v>270</v>
      </c>
      <c r="C586" s="79"/>
    </row>
    <row r="587" spans="2:3" ht="15" hidden="1" x14ac:dyDescent="0.25">
      <c r="B587" s="129" t="s">
        <v>271</v>
      </c>
      <c r="C587" s="81"/>
    </row>
    <row r="588" spans="2:3" ht="15" hidden="1" x14ac:dyDescent="0.25">
      <c r="B588" s="129" t="s">
        <v>272</v>
      </c>
      <c r="C588" s="81"/>
    </row>
    <row r="589" spans="2:3" ht="15" hidden="1" x14ac:dyDescent="0.25">
      <c r="B589" s="129" t="s">
        <v>273</v>
      </c>
      <c r="C589" s="81"/>
    </row>
    <row r="590" spans="2:3" ht="15" hidden="1" x14ac:dyDescent="0.25">
      <c r="B590" s="129" t="s">
        <v>274</v>
      </c>
      <c r="C590" s="81"/>
    </row>
    <row r="591" spans="2:3" ht="15" hidden="1" x14ac:dyDescent="0.25">
      <c r="B591" s="127" t="s">
        <v>275</v>
      </c>
      <c r="C591" s="79"/>
    </row>
    <row r="592" spans="2:3" ht="15" hidden="1" x14ac:dyDescent="0.25">
      <c r="B592" s="129" t="s">
        <v>276</v>
      </c>
      <c r="C592" s="81"/>
    </row>
    <row r="593" spans="2:3" ht="15" hidden="1" x14ac:dyDescent="0.25">
      <c r="B593" s="129" t="s">
        <v>277</v>
      </c>
      <c r="C593" s="81"/>
    </row>
    <row r="594" spans="2:3" ht="15" hidden="1" x14ac:dyDescent="0.25">
      <c r="B594" s="129" t="s">
        <v>278</v>
      </c>
      <c r="C594" s="81"/>
    </row>
    <row r="595" spans="2:3" ht="15" hidden="1" x14ac:dyDescent="0.25">
      <c r="B595" s="129" t="s">
        <v>279</v>
      </c>
      <c r="C595" s="81"/>
    </row>
    <row r="596" spans="2:3" ht="15" hidden="1" x14ac:dyDescent="0.25">
      <c r="B596" s="129" t="s">
        <v>280</v>
      </c>
      <c r="C596" s="81"/>
    </row>
    <row r="597" spans="2:3" ht="15" hidden="1" x14ac:dyDescent="0.25">
      <c r="B597" s="129" t="s">
        <v>281</v>
      </c>
      <c r="C597" s="81"/>
    </row>
    <row r="598" spans="2:3" ht="15" hidden="1" x14ac:dyDescent="0.25">
      <c r="B598" s="129" t="s">
        <v>282</v>
      </c>
      <c r="C598" s="81"/>
    </row>
    <row r="599" spans="2:3" ht="15" hidden="1" x14ac:dyDescent="0.25">
      <c r="B599" s="129" t="s">
        <v>283</v>
      </c>
      <c r="C599" s="81"/>
    </row>
    <row r="600" spans="2:3" ht="15" hidden="1" x14ac:dyDescent="0.25">
      <c r="B600" s="129" t="s">
        <v>284</v>
      </c>
      <c r="C600" s="81"/>
    </row>
    <row r="601" spans="2:3" ht="15" hidden="1" x14ac:dyDescent="0.25">
      <c r="B601" s="129" t="s">
        <v>285</v>
      </c>
      <c r="C601" s="81"/>
    </row>
    <row r="602" spans="2:3" ht="15" hidden="1" x14ac:dyDescent="0.25">
      <c r="B602" s="129" t="s">
        <v>286</v>
      </c>
      <c r="C602" s="81"/>
    </row>
    <row r="603" spans="2:3" ht="15" hidden="1" x14ac:dyDescent="0.25">
      <c r="B603" s="129" t="s">
        <v>287</v>
      </c>
      <c r="C603" s="81"/>
    </row>
    <row r="604" spans="2:3" ht="15" hidden="1" x14ac:dyDescent="0.25">
      <c r="B604" s="129" t="s">
        <v>288</v>
      </c>
      <c r="C604" s="81"/>
    </row>
    <row r="605" spans="2:3" ht="15" hidden="1" x14ac:dyDescent="0.25"/>
    <row r="606" spans="2:3" ht="15" hidden="1" x14ac:dyDescent="0.25">
      <c r="B606" s="125" t="s">
        <v>293</v>
      </c>
      <c r="C606" s="77"/>
    </row>
    <row r="607" spans="2:3" ht="15" hidden="1" x14ac:dyDescent="0.25">
      <c r="B607" s="130" t="s">
        <v>290</v>
      </c>
      <c r="C607" s="82"/>
    </row>
    <row r="608" spans="2:3" ht="15" hidden="1" x14ac:dyDescent="0.25">
      <c r="B608" s="130" t="s">
        <v>291</v>
      </c>
      <c r="C608" s="82"/>
    </row>
    <row r="609" spans="2:3" ht="15" hidden="1" x14ac:dyDescent="0.25">
      <c r="B609" s="130" t="s">
        <v>292</v>
      </c>
      <c r="C609" s="82"/>
    </row>
    <row r="610" spans="2:3" ht="15" hidden="1" x14ac:dyDescent="0.25"/>
    <row r="611" spans="2:3" ht="15" hidden="1" x14ac:dyDescent="0.25">
      <c r="B611" s="125" t="s">
        <v>296</v>
      </c>
      <c r="C611" s="77"/>
    </row>
    <row r="612" spans="2:3" ht="15" hidden="1" x14ac:dyDescent="0.25">
      <c r="B612" s="126" t="s">
        <v>294</v>
      </c>
      <c r="C612" s="78"/>
    </row>
    <row r="613" spans="2:3" ht="15" hidden="1" x14ac:dyDescent="0.25">
      <c r="B613" s="126" t="s">
        <v>295</v>
      </c>
      <c r="C613" s="78"/>
    </row>
    <row r="614" spans="2:3" ht="15" hidden="1" x14ac:dyDescent="0.25"/>
    <row r="615" spans="2:3" ht="15" hidden="1" x14ac:dyDescent="0.25">
      <c r="B615" s="121" t="s">
        <v>302</v>
      </c>
      <c r="C615" s="72"/>
    </row>
    <row r="616" spans="2:3" ht="15" hidden="1" x14ac:dyDescent="0.25">
      <c r="B616" s="126" t="s">
        <v>297</v>
      </c>
      <c r="C616" s="78"/>
    </row>
    <row r="617" spans="2:3" ht="15" hidden="1" x14ac:dyDescent="0.25">
      <c r="B617" s="126" t="s">
        <v>298</v>
      </c>
      <c r="C617" s="78"/>
    </row>
    <row r="618" spans="2:3" ht="15" hidden="1" x14ac:dyDescent="0.25">
      <c r="B618" s="126" t="s">
        <v>299</v>
      </c>
      <c r="C618" s="78"/>
    </row>
    <row r="619" spans="2:3" ht="15" hidden="1" x14ac:dyDescent="0.25">
      <c r="B619" s="126" t="s">
        <v>300</v>
      </c>
      <c r="C619" s="78"/>
    </row>
    <row r="620" spans="2:3" ht="15" hidden="1" x14ac:dyDescent="0.25">
      <c r="B620" s="126" t="s">
        <v>301</v>
      </c>
      <c r="C620" s="78"/>
    </row>
    <row r="621" spans="2:3" ht="15" hidden="1" x14ac:dyDescent="0.25"/>
    <row r="622" spans="2:3" ht="15" hidden="1" x14ac:dyDescent="0.25">
      <c r="B622" s="125" t="s">
        <v>315</v>
      </c>
      <c r="C622" s="77"/>
    </row>
    <row r="623" spans="2:3" ht="15" hidden="1" x14ac:dyDescent="0.25">
      <c r="B623" s="128" t="s">
        <v>303</v>
      </c>
      <c r="C623" s="83"/>
    </row>
    <row r="624" spans="2:3" ht="15" hidden="1" x14ac:dyDescent="0.25">
      <c r="B624" s="131" t="s">
        <v>371</v>
      </c>
      <c r="C624" s="83"/>
    </row>
    <row r="625" spans="2:3" ht="15" hidden="1" x14ac:dyDescent="0.25">
      <c r="B625" s="131" t="s">
        <v>372</v>
      </c>
      <c r="C625" s="83"/>
    </row>
    <row r="626" spans="2:3" ht="15" hidden="1" x14ac:dyDescent="0.25">
      <c r="B626" s="131" t="s">
        <v>373</v>
      </c>
      <c r="C626" s="83"/>
    </row>
    <row r="627" spans="2:3" ht="15" hidden="1" x14ac:dyDescent="0.25">
      <c r="B627" s="128" t="s">
        <v>304</v>
      </c>
      <c r="C627" s="83"/>
    </row>
    <row r="628" spans="2:3" ht="15" hidden="1" x14ac:dyDescent="0.25">
      <c r="B628" s="128" t="s">
        <v>305</v>
      </c>
      <c r="C628" s="83"/>
    </row>
    <row r="629" spans="2:3" ht="15" hidden="1" x14ac:dyDescent="0.25">
      <c r="B629" s="128" t="s">
        <v>306</v>
      </c>
      <c r="C629" s="83"/>
    </row>
    <row r="630" spans="2:3" ht="15" hidden="1" x14ac:dyDescent="0.25">
      <c r="B630" s="128" t="s">
        <v>307</v>
      </c>
      <c r="C630" s="83"/>
    </row>
    <row r="631" spans="2:3" ht="15" hidden="1" x14ac:dyDescent="0.25">
      <c r="B631" s="128" t="s">
        <v>308</v>
      </c>
      <c r="C631" s="83"/>
    </row>
    <row r="632" spans="2:3" ht="15" hidden="1" x14ac:dyDescent="0.25">
      <c r="B632" s="128" t="s">
        <v>309</v>
      </c>
      <c r="C632" s="83"/>
    </row>
    <row r="633" spans="2:3" ht="15" hidden="1" x14ac:dyDescent="0.25">
      <c r="B633" s="128" t="s">
        <v>318</v>
      </c>
      <c r="C633" s="83"/>
    </row>
    <row r="634" spans="2:3" ht="15" hidden="1" x14ac:dyDescent="0.25">
      <c r="B634" s="128" t="s">
        <v>317</v>
      </c>
      <c r="C634" s="83"/>
    </row>
    <row r="635" spans="2:3" ht="15" hidden="1" x14ac:dyDescent="0.25">
      <c r="B635" s="128" t="s">
        <v>316</v>
      </c>
      <c r="C635" s="83"/>
    </row>
    <row r="636" spans="2:3" ht="15" hidden="1" x14ac:dyDescent="0.25">
      <c r="B636" s="128" t="s">
        <v>319</v>
      </c>
      <c r="C636" s="83"/>
    </row>
    <row r="637" spans="2:3" ht="15" hidden="1" x14ac:dyDescent="0.25">
      <c r="B637" s="128" t="s">
        <v>310</v>
      </c>
      <c r="C637" s="83"/>
    </row>
    <row r="638" spans="2:3" ht="15" hidden="1" x14ac:dyDescent="0.25">
      <c r="B638" s="128" t="s">
        <v>311</v>
      </c>
      <c r="C638" s="83"/>
    </row>
    <row r="639" spans="2:3" ht="15" hidden="1" x14ac:dyDescent="0.25">
      <c r="B639" s="128" t="s">
        <v>312</v>
      </c>
      <c r="C639" s="83"/>
    </row>
    <row r="640" spans="2:3" ht="15" hidden="1" x14ac:dyDescent="0.25">
      <c r="B640" s="128" t="s">
        <v>313</v>
      </c>
      <c r="C640" s="83"/>
    </row>
    <row r="641" spans="2:3" ht="15" hidden="1" x14ac:dyDescent="0.25">
      <c r="B641" s="128" t="s">
        <v>314</v>
      </c>
      <c r="C641" s="83"/>
    </row>
    <row r="642" spans="2:3" ht="15" hidden="1" x14ac:dyDescent="0.25"/>
    <row r="643" spans="2:3" ht="15" hidden="1" x14ac:dyDescent="0.25">
      <c r="B643" s="132" t="s">
        <v>321</v>
      </c>
      <c r="C643" s="85"/>
    </row>
    <row r="644" spans="2:3" ht="15" hidden="1" x14ac:dyDescent="0.25"/>
    <row r="645" spans="2:3" ht="15" hidden="1" x14ac:dyDescent="0.25">
      <c r="B645" s="133" t="s">
        <v>322</v>
      </c>
      <c r="C645" s="86"/>
    </row>
    <row r="646" spans="2:3" ht="15" hidden="1" x14ac:dyDescent="0.25">
      <c r="B646" s="99" t="s">
        <v>323</v>
      </c>
    </row>
    <row r="647" spans="2:3" ht="15" hidden="1" x14ac:dyDescent="0.25">
      <c r="B647" s="99" t="s">
        <v>324</v>
      </c>
    </row>
    <row r="648" spans="2:3" ht="15" hidden="1" x14ac:dyDescent="0.25">
      <c r="B648" s="99" t="s">
        <v>325</v>
      </c>
    </row>
    <row r="649" spans="2:3" ht="15" hidden="1" x14ac:dyDescent="0.25"/>
    <row r="650" spans="2:3" ht="15" hidden="1" x14ac:dyDescent="0.25"/>
    <row r="651" spans="2:3" ht="15" hidden="1" x14ac:dyDescent="0.25"/>
    <row r="652" spans="2:3" ht="15" hidden="1" x14ac:dyDescent="0.25"/>
    <row r="653" spans="2:3" ht="15" hidden="1" x14ac:dyDescent="0.25"/>
    <row r="654" spans="2:3" ht="15" hidden="1" x14ac:dyDescent="0.25"/>
    <row r="655" spans="2:3" ht="15" hidden="1" x14ac:dyDescent="0.25"/>
    <row r="656" spans="2:3" ht="15" hidden="1" x14ac:dyDescent="0.25"/>
    <row r="657" ht="15" hidden="1" x14ac:dyDescent="0.25"/>
    <row r="658" ht="15" hidden="1" x14ac:dyDescent="0.25"/>
    <row r="659" ht="15" hidden="1" x14ac:dyDescent="0.25"/>
    <row r="660" ht="15" hidden="1" x14ac:dyDescent="0.25"/>
    <row r="661" ht="15" hidden="1" x14ac:dyDescent="0.25"/>
    <row r="662" ht="15" hidden="1" x14ac:dyDescent="0.25"/>
    <row r="663" ht="15" hidden="1" x14ac:dyDescent="0.25"/>
    <row r="664" ht="15" hidden="1" x14ac:dyDescent="0.25"/>
    <row r="665" ht="15" hidden="1" x14ac:dyDescent="0.25"/>
    <row r="666" ht="15" hidden="1" x14ac:dyDescent="0.25"/>
    <row r="667" ht="15" hidden="1" x14ac:dyDescent="0.25"/>
    <row r="668" ht="15" hidden="1" x14ac:dyDescent="0.25"/>
    <row r="669" ht="15" hidden="1" x14ac:dyDescent="0.25"/>
    <row r="670" ht="15" hidden="1" x14ac:dyDescent="0.25"/>
    <row r="671" ht="15" hidden="1" x14ac:dyDescent="0.25"/>
    <row r="672" ht="15" hidden="1" x14ac:dyDescent="0.25"/>
    <row r="673" ht="15" hidden="1" x14ac:dyDescent="0.25"/>
    <row r="674" ht="15" hidden="1" x14ac:dyDescent="0.25"/>
    <row r="675" ht="15" hidden="1" x14ac:dyDescent="0.25"/>
    <row r="676" ht="15" hidden="1" x14ac:dyDescent="0.25"/>
    <row r="677" ht="15" hidden="1" x14ac:dyDescent="0.25"/>
    <row r="678" ht="15" hidden="1" x14ac:dyDescent="0.25"/>
    <row r="679" ht="15" hidden="1" x14ac:dyDescent="0.25"/>
    <row r="680" ht="15" hidden="1" x14ac:dyDescent="0.25"/>
    <row r="681" ht="15" hidden="1" x14ac:dyDescent="0.25"/>
    <row r="682" ht="15" hidden="1" x14ac:dyDescent="0.25"/>
    <row r="683" ht="15" hidden="1" x14ac:dyDescent="0.25"/>
    <row r="684" ht="15" hidden="1" x14ac:dyDescent="0.25"/>
    <row r="685" ht="15" hidden="1" x14ac:dyDescent="0.25"/>
    <row r="686" ht="15" hidden="1" x14ac:dyDescent="0.25"/>
    <row r="687" ht="15" hidden="1" x14ac:dyDescent="0.25"/>
    <row r="688" ht="15" hidden="1" x14ac:dyDescent="0.25"/>
    <row r="689" ht="15" hidden="1" x14ac:dyDescent="0.25"/>
    <row r="690" ht="15" hidden="1" x14ac:dyDescent="0.25"/>
    <row r="691" ht="15" hidden="1" x14ac:dyDescent="0.25"/>
    <row r="692" ht="15" hidden="1" x14ac:dyDescent="0.25"/>
    <row r="693" ht="15" hidden="1" x14ac:dyDescent="0.25"/>
    <row r="694" ht="15" hidden="1" x14ac:dyDescent="0.25"/>
    <row r="695" ht="15" hidden="1" x14ac:dyDescent="0.25"/>
    <row r="696" ht="15" hidden="1" x14ac:dyDescent="0.25"/>
    <row r="697" ht="15" hidden="1" x14ac:dyDescent="0.25"/>
    <row r="698" ht="15" hidden="1" x14ac:dyDescent="0.25"/>
    <row r="699" ht="15" hidden="1" x14ac:dyDescent="0.25"/>
    <row r="700" ht="15" hidden="1" x14ac:dyDescent="0.25"/>
    <row r="701" ht="15" hidden="1" x14ac:dyDescent="0.25"/>
    <row r="702" ht="15" hidden="1" x14ac:dyDescent="0.25"/>
    <row r="703" ht="15" hidden="1" x14ac:dyDescent="0.25"/>
    <row r="704" ht="15" hidden="1" x14ac:dyDescent="0.25"/>
    <row r="705" ht="15" hidden="1" x14ac:dyDescent="0.25"/>
    <row r="706" ht="15" hidden="1" x14ac:dyDescent="0.25"/>
  </sheetData>
  <sheetProtection selectLockedCells="1"/>
  <mergeCells count="16">
    <mergeCell ref="D13:F13"/>
    <mergeCell ref="F2:G2"/>
    <mergeCell ref="D4:H4"/>
    <mergeCell ref="D7:H7"/>
    <mergeCell ref="D9:F9"/>
    <mergeCell ref="D11:F11"/>
    <mergeCell ref="D384:H384"/>
    <mergeCell ref="D386:H386"/>
    <mergeCell ref="D388:H388"/>
    <mergeCell ref="D392:H392"/>
    <mergeCell ref="D15:F15"/>
    <mergeCell ref="D31:F31"/>
    <mergeCell ref="D352:H352"/>
    <mergeCell ref="D353:H353"/>
    <mergeCell ref="D370:H370"/>
    <mergeCell ref="D371:H371"/>
  </mergeCells>
  <conditionalFormatting sqref="D388">
    <cfRule type="expression" dxfId="12" priority="7">
      <formula>LEN(D388)&gt;500</formula>
    </cfRule>
  </conditionalFormatting>
  <conditionalFormatting sqref="D390:E390">
    <cfRule type="expression" dxfId="11" priority="6">
      <formula>LEN(D390)&gt;500</formula>
    </cfRule>
  </conditionalFormatting>
  <conditionalFormatting sqref="D392">
    <cfRule type="expression" dxfId="10" priority="5">
      <formula>LEN(D392)&gt;500</formula>
    </cfRule>
  </conditionalFormatting>
  <conditionalFormatting sqref="D386">
    <cfRule type="expression" dxfId="9" priority="4">
      <formula>LEN(D386)&gt;500</formula>
    </cfRule>
  </conditionalFormatting>
  <conditionalFormatting sqref="D4">
    <cfRule type="expression" dxfId="8" priority="3">
      <formula>LEN(D4)&gt;10000</formula>
    </cfRule>
  </conditionalFormatting>
  <conditionalFormatting sqref="D7">
    <cfRule type="expression" dxfId="7" priority="2">
      <formula>LEN(D7)&gt;10000</formula>
    </cfRule>
  </conditionalFormatting>
  <conditionalFormatting sqref="D31">
    <cfRule type="expression" dxfId="6" priority="1">
      <formula>LEN(D31)&gt;10000</formula>
    </cfRule>
  </conditionalFormatting>
  <dataValidations count="19">
    <dataValidation allowBlank="1" showInputMessage="1" showErrorMessage="1" promptTitle="Index Title" prompt="Select the heading in the index under which this standard should reside" sqref="D9"/>
    <dataValidation allowBlank="1" showInputMessage="1" showErrorMessage="1" promptTitle="Index Description" prompt="This field displays the descriptive text associated with your index title" sqref="D13"/>
    <dataValidation allowBlank="1" showErrorMessage="1" sqref="F35 F55:F58 E50:F52 F60:F62 F87:F88 F90:F92 F109:F110 F112:F114 F139:F140 F142:F144 F173:F174 F176:F178 D172 F211:F212 F214:F216 F231:F232 F234:F236 F277:F278 F280:F282 F287:F288 F290:F292 F321:F322 F324:F326 F331:F332 F334:F336 F341:F342 F344:F346 E387 E389:E391 F394 F396:F398"/>
    <dataValidation allowBlank="1" showInputMessage="1" showErrorMessage="1" promptTitle="Department Applicability" prompt="The hotel department(s) to which this standard will apply" sqref="E172"/>
    <dataValidation allowBlank="1" showErrorMessage="1" promptTitle="Guest Journey" prompt="A set of stages tracking the guest experience before, during, and after their stay in a hotel. Guest Journey stages may include “Check in”, “My room”, and “Departure”." sqref="D210:E210"/>
    <dataValidation type="list" allowBlank="1" showInputMessage="1" showErrorMessage="1" sqref="D364 D356 F356 H356 F364 H364">
      <formula1>EM_IHG_Supporting_Link_Types</formula1>
    </dataValidation>
    <dataValidation allowBlank="1" showInputMessage="1" showErrorMessage="1" promptTitle="Technical Writer" prompt="Standard writing expert who liaises with relevant Business Owner with responsiblity for drafting, editing and formatting standardsin line with the agreed writing principles." sqref="D31"/>
    <dataValidation allowBlank="1" showInputMessage="1" showErrorMessage="1" promptTitle="Standard Owner" prompt="The individual who has ultimate responsibility for a standard: its testing; implementation; roll out and any subsequent revisions " sqref="D154"/>
    <dataValidation allowBlank="1" showInputMessage="1" showErrorMessage="1" promptTitle="Launch Date" prompt="The launch date is when the standard is formally published and becomes visible to hotels, having been through the approval process." sqref="D156"/>
    <dataValidation allowBlank="1" showInputMessage="1" showErrorMessage="1" promptTitle="Compliance Deadline" prompt="The Compliance Deadline is the date from which all applicable hotels will be required to comply with the standard" sqref="D158"/>
    <dataValidation type="list" allowBlank="1" showInputMessage="1" showErrorMessage="1" promptTitle="Brand Hallmark" prompt="The most relevant and differentiated element of the branded guest experience that provides competitive advantage relative to competition. Brand Hallmarks are global standards and are included in the Brand Framework" sqref="D160">
      <formula1>Checkbox</formula1>
    </dataValidation>
    <dataValidation allowBlank="1" showInputMessage="1" showErrorMessage="1" promptTitle="Comments" prompt="Please use this field to capture any information that you have not been able to store elsewhere_x000a_" sqref="D388"/>
    <dataValidation type="list" allowBlank="1" showInputMessage="1" showErrorMessage="1" promptTitle="New / Existing / Delete" prompt="Use this field to denote if this is a new standard, a change to an existing stanadard or a proposal to remove an existing standard._x000a_" sqref="D390">
      <formula1>EM_New_Amend_Delete</formula1>
    </dataValidation>
    <dataValidation allowBlank="1" showInputMessage="1" showErrorMessage="1" promptTitle="Impact Assessment" prompt="Field to describe the implication of implementing the proposed change on  Hotels and IHG.   Should include consideration of financial impact on hotels and may  incorporate owner feedback." sqref="D392"/>
    <dataValidation allowBlank="1" showInputMessage="1" showErrorMessage="1" promptTitle="Rational" prompt="Descriptive justification for the standard. May include summary of test results and ROI calculation.  Will be used as part of communications to implement the change." sqref="D7"/>
    <dataValidation allowBlank="1" showInputMessage="1" showErrorMessage="1" promptTitle="Measure" prompt="Enter details here about how you would measure this standard in the business to ensure a hotel is compliant." sqref="D386"/>
    <dataValidation allowBlank="1" showInputMessage="1" showErrorMessage="1" promptTitle="New Index Description" prompt="Use this input box if you want to suggest amendments to an existing title or if you have suggested a new title and need to provide an introductory description." sqref="D15"/>
    <dataValidation type="list" allowBlank="1" showInputMessage="1" showErrorMessage="1" sqref="C344 C348 C350 E348 E350 G348 C35 C166 C170 C168 C150 C152 C39 C41 C45 C43 C47 C49 C51 E39 E41 E45 E43 E47 E49 C90 C64 C66 C68 C70 C72 C74 C76 C78 C80 C82 C84 C86 E64 E66 E68 E70 E72 E74 E76 E78 E80 E82 E84 E86 G64 G66 G68 G70 G72 G74 G76 G78 G80 G82 G84 G86 C56 C60 C94 C96 C98 C100 C102 C104 C106 C108 E94 E96 E98 E100 E102 E104 E106 E108 G94 G96 G98 G100 G102 G104 G106 G108 C112 C116 C118 C120 C122 C124 C126 C128 C130 C132 C134 C136 C138 E116 E118 E120 E122 E124 E126 E128 E130 E132 E134 E136 E138 G116 G118 G120 G122 G124 G126 G128 G130 G132 G134 G136 G138 C142 C146 C148 C176 C180 C182 C184 C186 C188 C190 C192 E180 E182 E184 E186 E188 E190 E192 G180 G182 G184 G186 G188 G190 G192 C194 C196 E194 E196 G194 C202 C206 C204 C208 C214 C218 C220 C222 C224 C226 C228 E218 E220 E222 E224 E226 E228 G218 G220 G222 G224 G226 C234 C238 C240 C242 C244 C246 E238 E240 E242 E244 E246 G238 G240 G242 G244 G246 C248 C250 C252 C254 C256 E248 E250 E252 E254 E256 G248 G250 G252 G254 G256 C258 C260 C262 C264 C266 E258 E260 E262 E264 E266 G258 G260 G262 G264 G266 C268 C270 C272 C274 E268 E270 E272 E274 G268 G270 G272 C280 C284 E284 C290 C294 C296 C298 C300 C302 E294 E296 E298 E300 E302 G294 G296 G298 G300 G302 C306 C308 C310 C312 E306 E308 E310 E312 G306 G308 G310 G312 C314 C316 C318 E314 E316 E318 G314 C324 C328 E328 G328 C334 C338 E338 C29 C27 C25 C23 C19 C21 C164 C200">
      <formula1>Checkbox</formula1>
    </dataValidation>
    <dataValidation allowBlank="1" showInputMessage="1" showErrorMessage="1" promptTitle="Suggested Index Title" prompt="Use this section if your standard does not fit in the existing index and you want to define a new heading for your standard.  Select an existing index heading above to indicate where your new heading should be inserted below." sqref="D11:F11"/>
  </dataValidations>
  <hyperlinks>
    <hyperlink ref="D376" r:id="rId1" display="http://www."/>
    <hyperlink ref="D382" r:id="rId2" display="http://www."/>
    <hyperlink ref="F376" r:id="rId3" display="http://www."/>
    <hyperlink ref="H376" r:id="rId4" display="http://www."/>
    <hyperlink ref="H382" r:id="rId5" display="http://www."/>
    <hyperlink ref="F382" r:id="rId6" display="http://www."/>
  </hyperlinks>
  <pageMargins left="0.23622047244094491" right="0.23622047244094491" top="0.74803149606299213" bottom="0.74803149606299213" header="0.31496062992125984" footer="0.31496062992125984"/>
  <pageSetup paperSize="9" scale="96" fitToHeight="0" orientation="landscape" horizontalDpi="1200" verticalDpi="1200" r:id="rId7"/>
  <headerFooter>
    <oddFooter>&amp;RPage &amp;P of &amp;N</oddFooter>
  </headerFooter>
  <rowBreaks count="5" manualBreakCount="5">
    <brk id="16" max="16383" man="1"/>
    <brk id="53" max="16383" man="1"/>
    <brk id="87" max="16383" man="1"/>
    <brk id="139" max="16383" man="1"/>
    <brk id="171" max="16383" man="1"/>
  </rowBreaks>
  <drawing r:id="rId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3" tint="0.39997558519241921"/>
    <pageSetUpPr fitToPage="1"/>
  </sheetPr>
  <dimension ref="A1:AA483"/>
  <sheetViews>
    <sheetView showGridLines="0" zoomScaleNormal="100" workbookViewId="0">
      <pane ySplit="5" topLeftCell="A17" activePane="bottomLeft" state="frozen"/>
      <selection pane="bottomLeft" activeCell="D4" sqref="D4:H4"/>
    </sheetView>
  </sheetViews>
  <sheetFormatPr defaultColWidth="8.88671875" defaultRowHeight="14.4" x14ac:dyDescent="0.3"/>
  <cols>
    <col min="1" max="1" width="4.6640625" style="6" customWidth="1"/>
    <col min="2" max="2" width="32.5546875" style="6" customWidth="1"/>
    <col min="3" max="3" width="4.6640625" style="6" customWidth="1"/>
    <col min="4" max="4" width="35.6640625" style="6" customWidth="1"/>
    <col min="5" max="5" width="4.6640625" style="6" customWidth="1"/>
    <col min="6" max="6" width="35.6640625" style="6" customWidth="1"/>
    <col min="7" max="7" width="4.6640625" style="6" customWidth="1"/>
    <col min="8" max="8" width="35.6640625" style="6" customWidth="1"/>
    <col min="9" max="9" width="8.88671875" style="6" customWidth="1"/>
    <col min="10" max="10" width="35.6640625" style="6" hidden="1" customWidth="1"/>
    <col min="11" max="20" width="8.88671875" style="6" hidden="1" customWidth="1"/>
    <col min="21" max="21" width="13.6640625" style="6" hidden="1" customWidth="1"/>
    <col min="22" max="27" width="8.88671875" style="6" hidden="1" customWidth="1"/>
    <col min="28" max="16384" width="8.88671875" style="6"/>
  </cols>
  <sheetData>
    <row r="1" spans="1:19" ht="6" customHeight="1" x14ac:dyDescent="0.25">
      <c r="M1" s="6">
        <f>COUNTIF(M2:M129,"STOP")</f>
        <v>2</v>
      </c>
    </row>
    <row r="2" spans="1:19" ht="48.75" customHeight="1" x14ac:dyDescent="0.4">
      <c r="A2" s="179" t="s">
        <v>474</v>
      </c>
      <c r="D2" s="7"/>
      <c r="E2" s="7"/>
      <c r="F2" s="194" t="s">
        <v>452</v>
      </c>
      <c r="G2" s="194"/>
      <c r="H2" s="173"/>
      <c r="J2" s="146" t="str">
        <f>IF(ISBLANK(H2),"STOP","")</f>
        <v>STOP</v>
      </c>
      <c r="M2" s="6" t="str">
        <f>J2</f>
        <v>STOP</v>
      </c>
      <c r="S2" s="70" t="s">
        <v>397</v>
      </c>
    </row>
    <row r="3" spans="1:19" ht="23.25" customHeight="1" x14ac:dyDescent="0.3">
      <c r="D3" s="178" t="s">
        <v>458</v>
      </c>
      <c r="F3" s="180"/>
      <c r="H3" s="173"/>
      <c r="S3" s="18" t="s">
        <v>359</v>
      </c>
    </row>
    <row r="4" spans="1:19" ht="27" customHeight="1" x14ac:dyDescent="0.25">
      <c r="B4" s="88"/>
      <c r="C4" s="8"/>
      <c r="D4" s="199" t="s">
        <v>475</v>
      </c>
      <c r="E4" s="199"/>
      <c r="F4" s="199"/>
      <c r="G4" s="199"/>
      <c r="H4" s="199"/>
      <c r="I4" s="9"/>
      <c r="J4" s="146" t="str">
        <f>IF(ISBLANK(D4),"STOP","")</f>
        <v/>
      </c>
      <c r="K4" s="10"/>
      <c r="L4" s="10"/>
      <c r="M4" s="6" t="str">
        <f>J4</f>
        <v/>
      </c>
      <c r="N4" s="10"/>
    </row>
    <row r="5" spans="1:19" ht="15.6" customHeight="1" x14ac:dyDescent="0.25">
      <c r="B5" s="11"/>
      <c r="C5" s="11"/>
      <c r="D5" s="147"/>
    </row>
    <row r="6" spans="1:19" ht="15" hidden="1" x14ac:dyDescent="0.25">
      <c r="B6" s="11"/>
      <c r="C6" s="11"/>
    </row>
    <row r="7" spans="1:19" ht="194.4" hidden="1" customHeight="1" x14ac:dyDescent="0.25">
      <c r="B7" s="8" t="s">
        <v>0</v>
      </c>
      <c r="C7" s="8"/>
      <c r="D7" s="200"/>
      <c r="E7" s="201"/>
      <c r="F7" s="201"/>
      <c r="G7" s="201"/>
      <c r="H7" s="202"/>
      <c r="I7" s="9" t="str">
        <f>CONCATENATE(LEN(D7)," of 10,000 characters")</f>
        <v>0 of 10,000 characters</v>
      </c>
    </row>
    <row r="8" spans="1:19" ht="15" hidden="1" x14ac:dyDescent="0.25"/>
    <row r="9" spans="1:19" ht="16.5" hidden="1" thickTop="1" thickBot="1" x14ac:dyDescent="0.3">
      <c r="B9" s="8" t="s">
        <v>1</v>
      </c>
      <c r="C9" s="8"/>
      <c r="D9" s="203"/>
      <c r="E9" s="204"/>
      <c r="F9" s="205"/>
      <c r="J9" s="146" t="str">
        <f>IF(ISBLANK(D9),"STOP","")</f>
        <v>STOP</v>
      </c>
      <c r="M9" s="6" t="str">
        <f>J9</f>
        <v>STOP</v>
      </c>
    </row>
    <row r="10" spans="1:19" ht="15" hidden="1" x14ac:dyDescent="0.25">
      <c r="I10" s="12"/>
    </row>
    <row r="11" spans="1:19" ht="15" hidden="1" x14ac:dyDescent="0.25">
      <c r="B11" s="13" t="s">
        <v>342</v>
      </c>
      <c r="C11" s="13"/>
      <c r="D11" s="185"/>
      <c r="E11" s="186"/>
      <c r="F11" s="186"/>
    </row>
    <row r="12" spans="1:19" ht="15" hidden="1" x14ac:dyDescent="0.25"/>
    <row r="13" spans="1:19" ht="49.95" hidden="1" customHeight="1" thickTop="1" thickBot="1" x14ac:dyDescent="0.3">
      <c r="B13" s="8" t="s">
        <v>2</v>
      </c>
      <c r="C13" s="8"/>
      <c r="D13" s="191"/>
      <c r="E13" s="192"/>
      <c r="F13" s="193"/>
    </row>
    <row r="14" spans="1:19" ht="15" hidden="1" x14ac:dyDescent="0.25"/>
    <row r="15" spans="1:19" ht="49.95" hidden="1" customHeight="1" x14ac:dyDescent="0.25">
      <c r="B15" s="13" t="s">
        <v>343</v>
      </c>
      <c r="C15" s="13"/>
      <c r="D15" s="185"/>
      <c r="E15" s="186"/>
      <c r="F15" s="186"/>
      <c r="J15" s="16" t="s">
        <v>354</v>
      </c>
    </row>
    <row r="16" spans="1:19" ht="15" hidden="1" x14ac:dyDescent="0.25"/>
    <row r="17" spans="2:23" ht="15" x14ac:dyDescent="0.25">
      <c r="B17" s="8"/>
      <c r="C17" s="8"/>
      <c r="D17" s="174"/>
      <c r="E17" s="174"/>
      <c r="F17" s="165"/>
      <c r="J17" s="146"/>
    </row>
    <row r="18" spans="2:23" ht="15" x14ac:dyDescent="0.25">
      <c r="B18" s="49"/>
      <c r="C18" s="49"/>
      <c r="S18" s="43"/>
    </row>
    <row r="19" spans="2:23" ht="15" x14ac:dyDescent="0.25">
      <c r="B19" s="88" t="s">
        <v>375</v>
      </c>
      <c r="D19" s="15" t="s">
        <v>467</v>
      </c>
      <c r="S19" s="41"/>
    </row>
    <row r="20" spans="2:23" ht="4.95" customHeight="1" x14ac:dyDescent="0.25">
      <c r="C20" s="30"/>
      <c r="D20" s="34"/>
      <c r="E20" s="36"/>
      <c r="F20" s="30"/>
    </row>
    <row r="21" spans="2:23" ht="4.95" customHeight="1" x14ac:dyDescent="0.25">
      <c r="C21" s="109"/>
      <c r="D21" s="109"/>
      <c r="E21" s="109"/>
      <c r="F21" s="109"/>
      <c r="G21" s="109"/>
      <c r="H21" s="109"/>
    </row>
    <row r="22" spans="2:23" s="18" customFormat="1" ht="4.95" customHeight="1" x14ac:dyDescent="0.25">
      <c r="D22" s="40"/>
      <c r="E22" s="23"/>
      <c r="F22" s="24"/>
    </row>
    <row r="23" spans="2:23" x14ac:dyDescent="0.3">
      <c r="C23" s="108" t="s">
        <v>397</v>
      </c>
      <c r="D23" s="34" t="s">
        <v>361</v>
      </c>
      <c r="E23" s="36"/>
      <c r="F23" s="30"/>
    </row>
    <row r="24" spans="2:23" ht="4.95" customHeight="1" x14ac:dyDescent="0.25">
      <c r="C24" s="30"/>
      <c r="D24" s="34"/>
      <c r="E24" s="36"/>
      <c r="F24" s="30"/>
    </row>
    <row r="25" spans="2:23" ht="4.95" customHeight="1" x14ac:dyDescent="0.25">
      <c r="C25" s="109"/>
      <c r="D25" s="109"/>
      <c r="E25" s="109"/>
      <c r="F25" s="109"/>
      <c r="G25" s="109"/>
      <c r="H25" s="109"/>
    </row>
    <row r="26" spans="2:23" s="18" customFormat="1" ht="4.95" customHeight="1" x14ac:dyDescent="0.25">
      <c r="D26" s="40"/>
      <c r="E26" s="23"/>
      <c r="F26" s="24"/>
    </row>
    <row r="27" spans="2:23" x14ac:dyDescent="0.3">
      <c r="C27" s="107" t="s">
        <v>359</v>
      </c>
      <c r="D27" s="43" t="s">
        <v>469</v>
      </c>
      <c r="E27" s="107" t="s">
        <v>397</v>
      </c>
      <c r="F27" s="43" t="s">
        <v>457</v>
      </c>
      <c r="G27" s="107" t="s">
        <v>397</v>
      </c>
      <c r="H27" s="41" t="s">
        <v>470</v>
      </c>
      <c r="R27" s="6" t="str">
        <f ca="1">CELL("address",C27)</f>
        <v>$C$27</v>
      </c>
      <c r="S27" s="43" t="s">
        <v>469</v>
      </c>
      <c r="T27" s="6" t="str">
        <f ca="1">CELL("address",E27)</f>
        <v>$E$27</v>
      </c>
      <c r="U27" s="43" t="s">
        <v>457</v>
      </c>
      <c r="V27" s="6" t="str">
        <f ca="1">CELL("address",G27)</f>
        <v>$G$27</v>
      </c>
      <c r="W27" s="41" t="s">
        <v>470</v>
      </c>
    </row>
    <row r="28" spans="2:23" ht="4.95" customHeight="1" x14ac:dyDescent="0.25">
      <c r="D28" s="43"/>
      <c r="F28" s="43"/>
      <c r="H28" s="41"/>
      <c r="S28" s="43"/>
      <c r="U28" s="43"/>
    </row>
    <row r="29" spans="2:23" x14ac:dyDescent="0.3">
      <c r="C29" s="107" t="s">
        <v>397</v>
      </c>
      <c r="D29" s="43" t="s">
        <v>392</v>
      </c>
      <c r="E29" s="107" t="s">
        <v>359</v>
      </c>
      <c r="F29" s="43" t="s">
        <v>471</v>
      </c>
      <c r="H29" s="41"/>
      <c r="R29" s="6" t="str">
        <f t="shared" ref="R29" ca="1" si="0">CELL("address",C29)</f>
        <v>$C$29</v>
      </c>
      <c r="S29" s="43" t="s">
        <v>392</v>
      </c>
      <c r="T29" s="6" t="str">
        <f t="shared" ref="T29" ca="1" si="1">CELL("address",E29)</f>
        <v>$E$29</v>
      </c>
      <c r="U29" s="43" t="s">
        <v>471</v>
      </c>
      <c r="W29" s="176"/>
    </row>
    <row r="30" spans="2:23" ht="15" x14ac:dyDescent="0.25">
      <c r="B30" s="49"/>
      <c r="C30" s="49"/>
      <c r="S30" s="43"/>
    </row>
    <row r="31" spans="2:23" ht="15" x14ac:dyDescent="0.25">
      <c r="B31" s="88"/>
    </row>
    <row r="32" spans="2:23" ht="15" x14ac:dyDescent="0.25">
      <c r="B32" s="88" t="s">
        <v>466</v>
      </c>
      <c r="D32" s="15" t="s">
        <v>468</v>
      </c>
    </row>
    <row r="33" spans="2:23" ht="4.95" customHeight="1" x14ac:dyDescent="0.25">
      <c r="C33" s="30"/>
      <c r="D33" s="34"/>
      <c r="E33" s="36"/>
      <c r="F33" s="30"/>
    </row>
    <row r="34" spans="2:23" ht="4.95" customHeight="1" x14ac:dyDescent="0.25">
      <c r="C34" s="109"/>
      <c r="D34" s="109"/>
      <c r="E34" s="109"/>
      <c r="F34" s="109"/>
      <c r="G34" s="109"/>
      <c r="H34" s="109"/>
    </row>
    <row r="35" spans="2:23" s="18" customFormat="1" ht="4.95" hidden="1" customHeight="1" x14ac:dyDescent="0.25">
      <c r="D35" s="40"/>
      <c r="E35" s="23"/>
      <c r="F35" s="24"/>
    </row>
    <row r="36" spans="2:23" s="18" customFormat="1" ht="4.95" hidden="1" customHeight="1" x14ac:dyDescent="0.25">
      <c r="D36" s="40"/>
      <c r="E36" s="23"/>
      <c r="F36" s="24"/>
    </row>
    <row r="37" spans="2:23" s="18" customFormat="1" ht="4.95" hidden="1" customHeight="1" x14ac:dyDescent="0.25">
      <c r="D37" s="40"/>
      <c r="E37" s="23"/>
      <c r="F37" s="24"/>
    </row>
    <row r="38" spans="2:23" s="18" customFormat="1" ht="4.95" hidden="1" customHeight="1" x14ac:dyDescent="0.25">
      <c r="D38" s="40"/>
      <c r="E38" s="23"/>
      <c r="F38" s="24"/>
    </row>
    <row r="39" spans="2:23" ht="5.25" customHeight="1" x14ac:dyDescent="0.25">
      <c r="B39" s="88"/>
    </row>
    <row r="40" spans="2:23" x14ac:dyDescent="0.3">
      <c r="B40" s="88"/>
      <c r="C40" s="107" t="s">
        <v>359</v>
      </c>
      <c r="D40" s="43" t="s">
        <v>455</v>
      </c>
      <c r="E40" s="107" t="s">
        <v>397</v>
      </c>
      <c r="F40" s="43" t="s">
        <v>461</v>
      </c>
      <c r="G40" s="107" t="s">
        <v>359</v>
      </c>
      <c r="H40" s="41" t="s">
        <v>298</v>
      </c>
      <c r="R40" s="6" t="str">
        <f ca="1">CELL("address",C40)</f>
        <v>$C$40</v>
      </c>
      <c r="S40" s="43" t="s">
        <v>455</v>
      </c>
      <c r="T40" s="6" t="str">
        <f ca="1">CELL("address",E40)</f>
        <v>$E$40</v>
      </c>
      <c r="U40" s="43" t="s">
        <v>461</v>
      </c>
      <c r="V40" s="6" t="str">
        <f ca="1">CELL("address",G40)</f>
        <v>$G$40</v>
      </c>
      <c r="W40" s="43" t="s">
        <v>298</v>
      </c>
    </row>
    <row r="41" spans="2:23" ht="4.95" customHeight="1" x14ac:dyDescent="0.25">
      <c r="B41" s="88"/>
      <c r="D41" s="43"/>
      <c r="F41" s="43"/>
      <c r="H41" s="41"/>
      <c r="S41" s="43"/>
      <c r="U41" s="43"/>
      <c r="W41" s="41"/>
    </row>
    <row r="42" spans="2:23" x14ac:dyDescent="0.3">
      <c r="B42" s="88"/>
      <c r="C42" s="107" t="s">
        <v>359</v>
      </c>
      <c r="D42" s="43" t="s">
        <v>460</v>
      </c>
      <c r="E42" s="107" t="s">
        <v>359</v>
      </c>
      <c r="F42" s="43" t="s">
        <v>462</v>
      </c>
      <c r="G42" s="107" t="s">
        <v>359</v>
      </c>
      <c r="H42" s="41" t="s">
        <v>463</v>
      </c>
      <c r="R42" s="6" t="str">
        <f t="shared" ref="R42" ca="1" si="2">CELL("address",C42)</f>
        <v>$C$42</v>
      </c>
      <c r="S42" s="43" t="s">
        <v>460</v>
      </c>
      <c r="T42" s="6" t="str">
        <f t="shared" ref="T42" ca="1" si="3">CELL("address",E42)</f>
        <v>$E$42</v>
      </c>
      <c r="U42" s="43" t="s">
        <v>462</v>
      </c>
      <c r="V42" s="6" t="str">
        <f t="shared" ref="V42" ca="1" si="4">CELL("address",G42)</f>
        <v>$G$42</v>
      </c>
      <c r="W42" s="41" t="s">
        <v>463</v>
      </c>
    </row>
    <row r="43" spans="2:23" ht="15" x14ac:dyDescent="0.25">
      <c r="B43" s="88"/>
    </row>
    <row r="44" spans="2:23" ht="15" x14ac:dyDescent="0.25">
      <c r="B44" s="88"/>
    </row>
    <row r="45" spans="2:23" ht="15" x14ac:dyDescent="0.25">
      <c r="B45" s="88" t="s">
        <v>465</v>
      </c>
      <c r="D45" s="15" t="s">
        <v>467</v>
      </c>
    </row>
    <row r="46" spans="2:23" ht="4.95" customHeight="1" x14ac:dyDescent="0.25">
      <c r="B46" s="88"/>
      <c r="C46" s="30"/>
      <c r="D46" s="34"/>
      <c r="E46" s="36"/>
      <c r="F46" s="30"/>
    </row>
    <row r="47" spans="2:23" ht="4.95" customHeight="1" x14ac:dyDescent="0.25">
      <c r="B47" s="88"/>
      <c r="C47" s="109"/>
      <c r="D47" s="109"/>
      <c r="E47" s="109"/>
      <c r="F47" s="109"/>
      <c r="G47" s="109"/>
      <c r="H47" s="109"/>
    </row>
    <row r="48" spans="2:23" s="18" customFormat="1" ht="4.95" customHeight="1" x14ac:dyDescent="0.25">
      <c r="B48" s="88"/>
      <c r="D48" s="40"/>
      <c r="E48" s="23"/>
      <c r="F48" s="24"/>
    </row>
    <row r="49" spans="2:24" x14ac:dyDescent="0.3">
      <c r="B49" s="88"/>
      <c r="C49" s="108" t="s">
        <v>359</v>
      </c>
      <c r="D49" s="34" t="s">
        <v>361</v>
      </c>
      <c r="E49" s="36"/>
      <c r="F49" s="30"/>
    </row>
    <row r="50" spans="2:24" ht="4.95" customHeight="1" x14ac:dyDescent="0.25">
      <c r="B50" s="88"/>
      <c r="C50" s="30"/>
      <c r="D50" s="34"/>
      <c r="E50" s="36"/>
      <c r="F50" s="30"/>
    </row>
    <row r="51" spans="2:24" ht="4.95" customHeight="1" x14ac:dyDescent="0.25">
      <c r="B51" s="88"/>
      <c r="C51" s="109"/>
      <c r="D51" s="109"/>
      <c r="E51" s="109"/>
      <c r="F51" s="109"/>
      <c r="G51" s="109"/>
      <c r="H51" s="109"/>
    </row>
    <row r="52" spans="2:24" s="18" customFormat="1" ht="4.95" customHeight="1" x14ac:dyDescent="0.25">
      <c r="B52" s="88"/>
      <c r="D52" s="40"/>
      <c r="E52" s="23"/>
      <c r="F52" s="24"/>
    </row>
    <row r="53" spans="2:24" x14ac:dyDescent="0.3">
      <c r="B53" s="88"/>
      <c r="C53" s="107" t="s">
        <v>359</v>
      </c>
      <c r="D53" s="43" t="s">
        <v>197</v>
      </c>
      <c r="E53" s="107" t="s">
        <v>359</v>
      </c>
      <c r="F53" s="43" t="s">
        <v>216</v>
      </c>
      <c r="G53" s="107" t="s">
        <v>359</v>
      </c>
      <c r="H53" s="43" t="s">
        <v>234</v>
      </c>
      <c r="R53" s="6" t="str">
        <f ca="1">CELL("address",C53)</f>
        <v>$C$53</v>
      </c>
      <c r="S53" s="43" t="s">
        <v>197</v>
      </c>
      <c r="T53" s="6" t="str">
        <f ca="1">CELL("address",E53)</f>
        <v>$E$53</v>
      </c>
      <c r="U53" s="43" t="s">
        <v>216</v>
      </c>
      <c r="V53" s="6" t="str">
        <f ca="1">CELL("address",G53)</f>
        <v>$G$53</v>
      </c>
      <c r="W53" s="43" t="s">
        <v>234</v>
      </c>
    </row>
    <row r="54" spans="2:24" ht="4.95" customHeight="1" x14ac:dyDescent="0.25">
      <c r="B54" s="88"/>
      <c r="D54" s="43"/>
      <c r="F54" s="43"/>
      <c r="S54" s="43"/>
      <c r="U54" s="43"/>
    </row>
    <row r="55" spans="2:24" x14ac:dyDescent="0.3">
      <c r="B55" s="88"/>
      <c r="C55" s="107" t="s">
        <v>359</v>
      </c>
      <c r="D55" s="43" t="s">
        <v>198</v>
      </c>
      <c r="E55" s="107" t="s">
        <v>359</v>
      </c>
      <c r="F55" s="43" t="s">
        <v>217</v>
      </c>
      <c r="G55" s="107" t="s">
        <v>359</v>
      </c>
      <c r="H55" s="41" t="s">
        <v>235</v>
      </c>
      <c r="R55" s="6" t="str">
        <f t="shared" ref="R55:R89" ca="1" si="5">CELL("address",C55)</f>
        <v>$C$55</v>
      </c>
      <c r="S55" s="43" t="s">
        <v>198</v>
      </c>
      <c r="T55" s="6" t="str">
        <f t="shared" ref="T55:T89" ca="1" si="6">CELL("address",E55)</f>
        <v>$E$55</v>
      </c>
      <c r="U55" s="43" t="s">
        <v>217</v>
      </c>
      <c r="V55" s="6" t="str">
        <f t="shared" ref="V55:V89" ca="1" si="7">CELL("address",G55)</f>
        <v>$G$55</v>
      </c>
      <c r="W55" s="41" t="s">
        <v>235</v>
      </c>
    </row>
    <row r="56" spans="2:24" ht="4.95" customHeight="1" x14ac:dyDescent="0.25">
      <c r="B56" s="88"/>
      <c r="D56" s="43"/>
      <c r="F56" s="43"/>
      <c r="H56" s="41"/>
      <c r="S56" s="43"/>
      <c r="U56" s="43"/>
      <c r="W56" s="41"/>
    </row>
    <row r="57" spans="2:24" x14ac:dyDescent="0.3">
      <c r="B57" s="88"/>
      <c r="C57" s="107" t="s">
        <v>359</v>
      </c>
      <c r="D57" s="43" t="s">
        <v>199</v>
      </c>
      <c r="E57" s="107" t="s">
        <v>359</v>
      </c>
      <c r="F57" s="43" t="s">
        <v>218</v>
      </c>
      <c r="G57" s="107" t="s">
        <v>359</v>
      </c>
      <c r="H57" s="41" t="s">
        <v>236</v>
      </c>
      <c r="R57" s="6" t="str">
        <f t="shared" ca="1" si="5"/>
        <v>$C$57</v>
      </c>
      <c r="S57" s="43" t="s">
        <v>199</v>
      </c>
      <c r="T57" s="6" t="str">
        <f t="shared" ca="1" si="6"/>
        <v>$E$57</v>
      </c>
      <c r="U57" s="43" t="s">
        <v>218</v>
      </c>
      <c r="V57" s="6" t="str">
        <f t="shared" ca="1" si="7"/>
        <v>$G$57</v>
      </c>
      <c r="W57" s="41" t="s">
        <v>236</v>
      </c>
    </row>
    <row r="58" spans="2:24" ht="4.95" customHeight="1" x14ac:dyDescent="0.25">
      <c r="B58" s="88"/>
      <c r="C58" s="42"/>
      <c r="D58" s="43"/>
      <c r="E58" s="42"/>
      <c r="F58" s="43"/>
      <c r="G58" s="42"/>
      <c r="H58" s="41"/>
      <c r="S58" s="43"/>
      <c r="U58" s="43"/>
      <c r="W58" s="41"/>
    </row>
    <row r="59" spans="2:24" x14ac:dyDescent="0.3">
      <c r="B59" s="88"/>
      <c r="C59" s="107" t="s">
        <v>359</v>
      </c>
      <c r="D59" s="43" t="s">
        <v>200</v>
      </c>
      <c r="E59" s="107" t="s">
        <v>397</v>
      </c>
      <c r="F59" s="43" t="s">
        <v>473</v>
      </c>
      <c r="G59" s="107" t="s">
        <v>359</v>
      </c>
      <c r="H59" s="41" t="s">
        <v>237</v>
      </c>
      <c r="R59" s="6" t="str">
        <f t="shared" ca="1" si="5"/>
        <v>$C$59</v>
      </c>
      <c r="S59" s="43" t="s">
        <v>200</v>
      </c>
      <c r="T59" s="6" t="str">
        <f t="shared" ca="1" si="6"/>
        <v>$E$59</v>
      </c>
      <c r="U59" s="43" t="s">
        <v>473</v>
      </c>
      <c r="V59" s="6" t="str">
        <f t="shared" ca="1" si="7"/>
        <v>$G$59</v>
      </c>
      <c r="W59" s="41" t="s">
        <v>237</v>
      </c>
    </row>
    <row r="60" spans="2:24" ht="4.95" customHeight="1" x14ac:dyDescent="0.25">
      <c r="B60" s="88"/>
      <c r="D60" s="43"/>
      <c r="H60" s="41"/>
      <c r="S60" s="43"/>
      <c r="W60" s="41"/>
    </row>
    <row r="61" spans="2:24" x14ac:dyDescent="0.3">
      <c r="B61" s="88"/>
      <c r="C61" s="107" t="s">
        <v>359</v>
      </c>
      <c r="D61" s="43" t="s">
        <v>201</v>
      </c>
      <c r="E61" s="107" t="s">
        <v>359</v>
      </c>
      <c r="F61" s="43" t="s">
        <v>219</v>
      </c>
      <c r="G61" s="107" t="s">
        <v>359</v>
      </c>
      <c r="H61" s="41" t="s">
        <v>238</v>
      </c>
      <c r="R61" s="6" t="str">
        <f t="shared" ca="1" si="5"/>
        <v>$C$61</v>
      </c>
      <c r="S61" s="43" t="s">
        <v>201</v>
      </c>
      <c r="T61" s="6" t="str">
        <f t="shared" ca="1" si="6"/>
        <v>$E$61</v>
      </c>
      <c r="U61" s="43" t="s">
        <v>219</v>
      </c>
      <c r="V61" s="6" t="str">
        <f t="shared" ca="1" si="7"/>
        <v>$G$61</v>
      </c>
      <c r="W61" s="41" t="s">
        <v>238</v>
      </c>
    </row>
    <row r="62" spans="2:24" s="18" customFormat="1" ht="4.95" customHeight="1" x14ac:dyDescent="0.25">
      <c r="B62" s="88"/>
      <c r="D62" s="40"/>
      <c r="F62" s="43"/>
      <c r="H62" s="41"/>
      <c r="R62" s="6"/>
      <c r="S62" s="40"/>
      <c r="T62" s="6"/>
      <c r="U62" s="43"/>
      <c r="V62" s="6"/>
      <c r="W62" s="41"/>
      <c r="X62" s="6"/>
    </row>
    <row r="63" spans="2:24" x14ac:dyDescent="0.3">
      <c r="B63" s="88"/>
      <c r="C63" s="107" t="s">
        <v>359</v>
      </c>
      <c r="D63" s="43" t="s">
        <v>202</v>
      </c>
      <c r="E63" s="107" t="s">
        <v>359</v>
      </c>
      <c r="F63" s="43" t="s">
        <v>220</v>
      </c>
      <c r="G63" s="107" t="s">
        <v>359</v>
      </c>
      <c r="H63" s="41" t="s">
        <v>158</v>
      </c>
      <c r="R63" s="6" t="str">
        <f t="shared" ca="1" si="5"/>
        <v>$C$63</v>
      </c>
      <c r="S63" s="43" t="s">
        <v>202</v>
      </c>
      <c r="T63" s="6" t="str">
        <f t="shared" ca="1" si="6"/>
        <v>$E$63</v>
      </c>
      <c r="U63" s="43" t="s">
        <v>220</v>
      </c>
      <c r="V63" s="6" t="str">
        <f t="shared" ca="1" si="7"/>
        <v>$G$63</v>
      </c>
      <c r="W63" s="41" t="s">
        <v>158</v>
      </c>
    </row>
    <row r="64" spans="2:24" ht="4.95" customHeight="1" x14ac:dyDescent="0.25">
      <c r="B64" s="88"/>
      <c r="D64" s="43"/>
      <c r="F64" s="24"/>
      <c r="H64" s="18"/>
      <c r="S64" s="43"/>
      <c r="U64" s="24"/>
      <c r="W64" s="18"/>
      <c r="X64" s="18"/>
    </row>
    <row r="65" spans="2:24" x14ac:dyDescent="0.3">
      <c r="B65" s="88"/>
      <c r="C65" s="107" t="s">
        <v>359</v>
      </c>
      <c r="D65" s="43" t="s">
        <v>203</v>
      </c>
      <c r="E65" s="107" t="s">
        <v>359</v>
      </c>
      <c r="F65" s="43" t="s">
        <v>221</v>
      </c>
      <c r="G65" s="107" t="s">
        <v>359</v>
      </c>
      <c r="H65" s="41" t="s">
        <v>239</v>
      </c>
      <c r="R65" s="6" t="str">
        <f t="shared" ca="1" si="5"/>
        <v>$C$65</v>
      </c>
      <c r="S65" s="43" t="s">
        <v>203</v>
      </c>
      <c r="T65" s="6" t="str">
        <f t="shared" ca="1" si="6"/>
        <v>$E$65</v>
      </c>
      <c r="U65" s="43" t="s">
        <v>221</v>
      </c>
      <c r="V65" s="6" t="str">
        <f t="shared" ca="1" si="7"/>
        <v>$G$65</v>
      </c>
      <c r="W65" s="41" t="s">
        <v>239</v>
      </c>
    </row>
    <row r="66" spans="2:24" ht="4.95" customHeight="1" x14ac:dyDescent="0.25">
      <c r="B66" s="88"/>
      <c r="D66" s="43"/>
      <c r="F66" s="43"/>
      <c r="H66" s="41"/>
      <c r="S66" s="43"/>
      <c r="U66" s="43"/>
      <c r="W66" s="41"/>
    </row>
    <row r="67" spans="2:24" x14ac:dyDescent="0.3">
      <c r="B67" s="88"/>
      <c r="C67" s="107" t="s">
        <v>359</v>
      </c>
      <c r="D67" s="43" t="s">
        <v>204</v>
      </c>
      <c r="E67" s="107" t="s">
        <v>359</v>
      </c>
      <c r="F67" s="43" t="s">
        <v>222</v>
      </c>
      <c r="G67" s="107" t="s">
        <v>359</v>
      </c>
      <c r="H67" s="41" t="s">
        <v>240</v>
      </c>
      <c r="R67" s="6" t="str">
        <f t="shared" ca="1" si="5"/>
        <v>$C$67</v>
      </c>
      <c r="S67" s="43" t="s">
        <v>204</v>
      </c>
      <c r="T67" s="6" t="str">
        <f t="shared" ca="1" si="6"/>
        <v>$E$67</v>
      </c>
      <c r="U67" s="43" t="s">
        <v>222</v>
      </c>
      <c r="V67" s="6" t="str">
        <f t="shared" ca="1" si="7"/>
        <v>$G$67</v>
      </c>
      <c r="W67" s="41" t="s">
        <v>240</v>
      </c>
    </row>
    <row r="68" spans="2:24" ht="4.95" customHeight="1" x14ac:dyDescent="0.3">
      <c r="B68" s="88"/>
      <c r="C68" s="42"/>
      <c r="D68" s="43"/>
      <c r="E68" s="42"/>
      <c r="F68" s="43"/>
      <c r="G68" s="42"/>
      <c r="H68" s="41"/>
      <c r="S68" s="43"/>
      <c r="U68" s="43"/>
      <c r="W68" s="41"/>
    </row>
    <row r="69" spans="2:24" x14ac:dyDescent="0.3">
      <c r="B69" s="88"/>
      <c r="C69" s="107" t="s">
        <v>359</v>
      </c>
      <c r="D69" s="43" t="s">
        <v>205</v>
      </c>
      <c r="E69" s="107" t="s">
        <v>359</v>
      </c>
      <c r="F69" s="43" t="s">
        <v>223</v>
      </c>
      <c r="G69" s="107" t="s">
        <v>359</v>
      </c>
      <c r="H69" s="41" t="s">
        <v>241</v>
      </c>
      <c r="R69" s="6" t="str">
        <f t="shared" ca="1" si="5"/>
        <v>$C$69</v>
      </c>
      <c r="S69" s="43" t="s">
        <v>205</v>
      </c>
      <c r="T69" s="6" t="str">
        <f t="shared" ca="1" si="6"/>
        <v>$E$69</v>
      </c>
      <c r="U69" s="43" t="s">
        <v>223</v>
      </c>
      <c r="V69" s="6" t="str">
        <f t="shared" ca="1" si="7"/>
        <v>$G$69</v>
      </c>
      <c r="W69" s="41" t="s">
        <v>241</v>
      </c>
    </row>
    <row r="70" spans="2:24" ht="4.95" customHeight="1" x14ac:dyDescent="0.3">
      <c r="B70" s="88"/>
      <c r="D70" s="43"/>
      <c r="F70" s="43"/>
      <c r="H70" s="41"/>
      <c r="S70" s="43"/>
      <c r="U70" s="43"/>
      <c r="W70" s="41"/>
    </row>
    <row r="71" spans="2:24" x14ac:dyDescent="0.3">
      <c r="B71" s="88"/>
      <c r="C71" s="107" t="s">
        <v>359</v>
      </c>
      <c r="D71" s="43" t="s">
        <v>206</v>
      </c>
      <c r="E71" s="107" t="s">
        <v>359</v>
      </c>
      <c r="F71" s="43" t="s">
        <v>472</v>
      </c>
      <c r="G71" s="107" t="s">
        <v>359</v>
      </c>
      <c r="H71" s="41" t="s">
        <v>242</v>
      </c>
      <c r="R71" s="6" t="str">
        <f t="shared" ca="1" si="5"/>
        <v>$C$71</v>
      </c>
      <c r="S71" s="43" t="s">
        <v>206</v>
      </c>
      <c r="T71" s="6" t="str">
        <f t="shared" ca="1" si="6"/>
        <v>$E$71</v>
      </c>
      <c r="U71" s="43" t="s">
        <v>472</v>
      </c>
      <c r="V71" s="6" t="str">
        <f t="shared" ca="1" si="7"/>
        <v>$G$71</v>
      </c>
      <c r="W71" s="41" t="s">
        <v>242</v>
      </c>
    </row>
    <row r="72" spans="2:24" s="18" customFormat="1" ht="4.95" customHeight="1" x14ac:dyDescent="0.3">
      <c r="B72" s="88"/>
      <c r="D72" s="40"/>
      <c r="F72" s="43"/>
      <c r="H72" s="41"/>
      <c r="R72" s="6"/>
      <c r="S72" s="40"/>
      <c r="T72" s="6"/>
      <c r="U72" s="43"/>
      <c r="V72" s="6"/>
      <c r="W72" s="41"/>
      <c r="X72" s="6"/>
    </row>
    <row r="73" spans="2:24" x14ac:dyDescent="0.3">
      <c r="B73" s="88"/>
      <c r="C73" s="107" t="s">
        <v>359</v>
      </c>
      <c r="D73" s="43" t="s">
        <v>207</v>
      </c>
      <c r="E73" s="107" t="s">
        <v>359</v>
      </c>
      <c r="F73" s="43" t="s">
        <v>225</v>
      </c>
      <c r="G73" s="107" t="s">
        <v>359</v>
      </c>
      <c r="H73" s="41" t="s">
        <v>243</v>
      </c>
      <c r="R73" s="6" t="str">
        <f t="shared" ca="1" si="5"/>
        <v>$C$73</v>
      </c>
      <c r="S73" s="43" t="s">
        <v>207</v>
      </c>
      <c r="T73" s="6" t="str">
        <f t="shared" ca="1" si="6"/>
        <v>$E$73</v>
      </c>
      <c r="U73" s="43" t="s">
        <v>225</v>
      </c>
      <c r="V73" s="6" t="str">
        <f t="shared" ca="1" si="7"/>
        <v>$G$73</v>
      </c>
      <c r="W73" s="41" t="s">
        <v>243</v>
      </c>
    </row>
    <row r="74" spans="2:24" ht="4.95" customHeight="1" x14ac:dyDescent="0.3">
      <c r="B74" s="88"/>
      <c r="D74" s="43"/>
      <c r="F74" s="24"/>
      <c r="H74" s="18"/>
      <c r="S74" s="43"/>
      <c r="U74" s="24"/>
      <c r="W74" s="18"/>
      <c r="X74" s="18"/>
    </row>
    <row r="75" spans="2:24" x14ac:dyDescent="0.3">
      <c r="B75" s="88"/>
      <c r="C75" s="107" t="s">
        <v>359</v>
      </c>
      <c r="D75" s="43" t="s">
        <v>208</v>
      </c>
      <c r="E75" s="107" t="s">
        <v>359</v>
      </c>
      <c r="F75" s="43" t="s">
        <v>226</v>
      </c>
      <c r="G75" s="107" t="s">
        <v>359</v>
      </c>
      <c r="H75" s="41" t="s">
        <v>244</v>
      </c>
      <c r="R75" s="6" t="str">
        <f t="shared" ca="1" si="5"/>
        <v>$C$75</v>
      </c>
      <c r="S75" s="43" t="s">
        <v>208</v>
      </c>
      <c r="T75" s="6" t="str">
        <f t="shared" ca="1" si="6"/>
        <v>$E$75</v>
      </c>
      <c r="U75" s="43" t="s">
        <v>226</v>
      </c>
      <c r="V75" s="6" t="str">
        <f t="shared" ca="1" si="7"/>
        <v>$G$75</v>
      </c>
      <c r="W75" s="41" t="s">
        <v>244</v>
      </c>
    </row>
    <row r="76" spans="2:24" ht="4.95" customHeight="1" x14ac:dyDescent="0.3">
      <c r="B76" s="88"/>
      <c r="D76" s="43"/>
      <c r="F76" s="43"/>
      <c r="H76" s="41"/>
      <c r="S76" s="43"/>
      <c r="U76" s="43"/>
      <c r="W76" s="41"/>
    </row>
    <row r="77" spans="2:24" x14ac:dyDescent="0.3">
      <c r="B77" s="88"/>
      <c r="C77" s="107" t="s">
        <v>359</v>
      </c>
      <c r="D77" s="43" t="s">
        <v>209</v>
      </c>
      <c r="E77" s="107" t="s">
        <v>359</v>
      </c>
      <c r="F77" s="43" t="s">
        <v>227</v>
      </c>
      <c r="G77" s="107" t="s">
        <v>359</v>
      </c>
      <c r="H77" s="41" t="s">
        <v>245</v>
      </c>
      <c r="R77" s="6" t="str">
        <f t="shared" ca="1" si="5"/>
        <v>$C$77</v>
      </c>
      <c r="S77" s="43" t="s">
        <v>209</v>
      </c>
      <c r="T77" s="6" t="str">
        <f t="shared" ca="1" si="6"/>
        <v>$E$77</v>
      </c>
      <c r="U77" s="43" t="s">
        <v>227</v>
      </c>
      <c r="V77" s="6" t="str">
        <f t="shared" ca="1" si="7"/>
        <v>$G$77</v>
      </c>
      <c r="W77" s="41" t="s">
        <v>245</v>
      </c>
    </row>
    <row r="78" spans="2:24" ht="4.95" customHeight="1" x14ac:dyDescent="0.3">
      <c r="B78" s="88"/>
      <c r="C78" s="42"/>
      <c r="D78" s="43"/>
      <c r="E78" s="42"/>
      <c r="F78" s="43"/>
      <c r="G78" s="42"/>
      <c r="H78" s="41"/>
      <c r="S78" s="43"/>
      <c r="U78" s="43"/>
      <c r="W78" s="41"/>
    </row>
    <row r="79" spans="2:24" x14ac:dyDescent="0.3">
      <c r="B79" s="88"/>
      <c r="C79" s="107" t="s">
        <v>359</v>
      </c>
      <c r="D79" s="43" t="s">
        <v>210</v>
      </c>
      <c r="E79" s="107" t="s">
        <v>359</v>
      </c>
      <c r="F79" s="43" t="s">
        <v>228</v>
      </c>
      <c r="G79" s="107" t="s">
        <v>359</v>
      </c>
      <c r="H79" s="41" t="s">
        <v>246</v>
      </c>
      <c r="R79" s="6" t="str">
        <f t="shared" ca="1" si="5"/>
        <v>$C$79</v>
      </c>
      <c r="S79" s="43" t="s">
        <v>210</v>
      </c>
      <c r="T79" s="6" t="str">
        <f t="shared" ca="1" si="6"/>
        <v>$E$79</v>
      </c>
      <c r="U79" s="43" t="s">
        <v>228</v>
      </c>
      <c r="V79" s="6" t="str">
        <f t="shared" ca="1" si="7"/>
        <v>$G$79</v>
      </c>
      <c r="W79" s="41" t="s">
        <v>246</v>
      </c>
    </row>
    <row r="80" spans="2:24" ht="4.95" customHeight="1" x14ac:dyDescent="0.3">
      <c r="B80" s="88"/>
      <c r="D80" s="43"/>
      <c r="F80" s="43"/>
      <c r="H80" s="41"/>
      <c r="S80" s="43"/>
      <c r="U80" s="43"/>
      <c r="W80" s="41"/>
    </row>
    <row r="81" spans="2:23" x14ac:dyDescent="0.3">
      <c r="B81" s="88"/>
      <c r="C81" s="107" t="s">
        <v>359</v>
      </c>
      <c r="D81" s="43" t="s">
        <v>211</v>
      </c>
      <c r="E81" s="107" t="s">
        <v>359</v>
      </c>
      <c r="F81" s="43" t="s">
        <v>229</v>
      </c>
      <c r="G81" s="107" t="s">
        <v>359</v>
      </c>
      <c r="H81" s="41" t="s">
        <v>247</v>
      </c>
      <c r="R81" s="6" t="str">
        <f t="shared" ca="1" si="5"/>
        <v>$C$81</v>
      </c>
      <c r="S81" s="43" t="s">
        <v>211</v>
      </c>
      <c r="T81" s="6" t="str">
        <f t="shared" ca="1" si="6"/>
        <v>$E$81</v>
      </c>
      <c r="U81" s="43" t="s">
        <v>229</v>
      </c>
      <c r="V81" s="6" t="str">
        <f t="shared" ca="1" si="7"/>
        <v>$G$81</v>
      </c>
      <c r="W81" s="41" t="s">
        <v>247</v>
      </c>
    </row>
    <row r="82" spans="2:23" ht="4.95" customHeight="1" x14ac:dyDescent="0.3">
      <c r="B82" s="88"/>
      <c r="D82" s="43"/>
      <c r="F82" s="43"/>
      <c r="H82" s="41"/>
      <c r="S82" s="43"/>
      <c r="U82" s="43"/>
      <c r="W82" s="41"/>
    </row>
    <row r="83" spans="2:23" x14ac:dyDescent="0.3">
      <c r="B83" s="88"/>
      <c r="C83" s="107" t="s">
        <v>359</v>
      </c>
      <c r="D83" s="43" t="s">
        <v>212</v>
      </c>
      <c r="E83" s="107" t="s">
        <v>359</v>
      </c>
      <c r="F83" s="43" t="s">
        <v>230</v>
      </c>
      <c r="G83" s="107" t="s">
        <v>359</v>
      </c>
      <c r="H83" s="41" t="s">
        <v>248</v>
      </c>
      <c r="R83" s="6" t="str">
        <f t="shared" ca="1" si="5"/>
        <v>$C$83</v>
      </c>
      <c r="S83" s="43" t="s">
        <v>212</v>
      </c>
      <c r="T83" s="6" t="str">
        <f t="shared" ca="1" si="6"/>
        <v>$E$83</v>
      </c>
      <c r="U83" s="43" t="s">
        <v>230</v>
      </c>
      <c r="V83" s="6" t="str">
        <f t="shared" ca="1" si="7"/>
        <v>$G$83</v>
      </c>
      <c r="W83" s="41" t="s">
        <v>248</v>
      </c>
    </row>
    <row r="84" spans="2:23" ht="4.95" customHeight="1" x14ac:dyDescent="0.3">
      <c r="B84" s="88"/>
      <c r="D84" s="43"/>
      <c r="F84" s="43"/>
      <c r="H84" s="41"/>
      <c r="S84" s="43"/>
      <c r="U84" s="43"/>
      <c r="W84" s="41"/>
    </row>
    <row r="85" spans="2:23" x14ac:dyDescent="0.3">
      <c r="B85" s="88"/>
      <c r="C85" s="107" t="s">
        <v>359</v>
      </c>
      <c r="D85" s="43" t="s">
        <v>213</v>
      </c>
      <c r="E85" s="107" t="s">
        <v>359</v>
      </c>
      <c r="F85" s="43" t="s">
        <v>231</v>
      </c>
      <c r="G85" s="107" t="s">
        <v>359</v>
      </c>
      <c r="H85" s="41" t="s">
        <v>249</v>
      </c>
      <c r="R85" s="6" t="str">
        <f t="shared" ca="1" si="5"/>
        <v>$C$85</v>
      </c>
      <c r="S85" s="43" t="s">
        <v>213</v>
      </c>
      <c r="T85" s="6" t="str">
        <f t="shared" ca="1" si="6"/>
        <v>$E$85</v>
      </c>
      <c r="U85" s="43" t="s">
        <v>231</v>
      </c>
      <c r="V85" s="6" t="str">
        <f t="shared" ca="1" si="7"/>
        <v>$G$85</v>
      </c>
      <c r="W85" s="41" t="s">
        <v>249</v>
      </c>
    </row>
    <row r="86" spans="2:23" ht="4.95" customHeight="1" x14ac:dyDescent="0.3">
      <c r="B86" s="88"/>
      <c r="C86" s="42"/>
      <c r="D86" s="43"/>
      <c r="E86" s="42"/>
      <c r="F86" s="43"/>
      <c r="G86" s="42"/>
      <c r="H86" s="41"/>
      <c r="S86" s="43"/>
      <c r="U86" s="43"/>
      <c r="W86" s="41"/>
    </row>
    <row r="87" spans="2:23" x14ac:dyDescent="0.3">
      <c r="B87" s="88"/>
      <c r="C87" s="107" t="s">
        <v>359</v>
      </c>
      <c r="D87" s="43" t="s">
        <v>214</v>
      </c>
      <c r="E87" s="107" t="s">
        <v>359</v>
      </c>
      <c r="F87" s="43" t="s">
        <v>232</v>
      </c>
      <c r="G87" s="107" t="s">
        <v>359</v>
      </c>
      <c r="H87" s="41" t="s">
        <v>250</v>
      </c>
      <c r="R87" s="6" t="str">
        <f t="shared" ca="1" si="5"/>
        <v>$C$87</v>
      </c>
      <c r="S87" s="43" t="s">
        <v>214</v>
      </c>
      <c r="T87" s="6" t="str">
        <f t="shared" ca="1" si="6"/>
        <v>$E$87</v>
      </c>
      <c r="U87" s="43" t="s">
        <v>232</v>
      </c>
      <c r="V87" s="6" t="str">
        <f t="shared" ca="1" si="7"/>
        <v>$G$87</v>
      </c>
      <c r="W87" s="41" t="s">
        <v>250</v>
      </c>
    </row>
    <row r="88" spans="2:23" ht="4.95" customHeight="1" x14ac:dyDescent="0.3">
      <c r="B88" s="88"/>
      <c r="D88" s="43"/>
      <c r="F88" s="43"/>
      <c r="H88" s="41"/>
      <c r="S88" s="43"/>
      <c r="U88" s="43"/>
      <c r="W88" s="41"/>
    </row>
    <row r="89" spans="2:23" x14ac:dyDescent="0.3">
      <c r="B89" s="88"/>
      <c r="C89" s="107" t="s">
        <v>359</v>
      </c>
      <c r="D89" s="43" t="s">
        <v>215</v>
      </c>
      <c r="E89" s="107" t="s">
        <v>359</v>
      </c>
      <c r="F89" s="43" t="s">
        <v>233</v>
      </c>
      <c r="G89" s="107" t="s">
        <v>359</v>
      </c>
      <c r="H89" s="41" t="s">
        <v>251</v>
      </c>
      <c r="R89" s="6" t="str">
        <f t="shared" ca="1" si="5"/>
        <v>$C$89</v>
      </c>
      <c r="S89" s="43" t="s">
        <v>215</v>
      </c>
      <c r="T89" s="6" t="str">
        <f t="shared" ca="1" si="6"/>
        <v>$E$89</v>
      </c>
      <c r="U89" s="43" t="s">
        <v>233</v>
      </c>
      <c r="V89" s="6" t="str">
        <f t="shared" ca="1" si="7"/>
        <v>$G$89</v>
      </c>
      <c r="W89" s="41" t="s">
        <v>251</v>
      </c>
    </row>
    <row r="90" spans="2:23" x14ac:dyDescent="0.3">
      <c r="B90" s="88"/>
      <c r="S90" s="43"/>
    </row>
    <row r="91" spans="2:23" ht="23.25" hidden="1" x14ac:dyDescent="0.25">
      <c r="D91" s="198" t="s">
        <v>331</v>
      </c>
      <c r="E91" s="198"/>
      <c r="F91" s="198"/>
      <c r="G91" s="198"/>
      <c r="H91" s="198"/>
    </row>
    <row r="92" spans="2:23" ht="46.95" hidden="1" customHeight="1" x14ac:dyDescent="0.25">
      <c r="D92" s="190" t="s">
        <v>332</v>
      </c>
      <c r="E92" s="190"/>
      <c r="F92" s="190"/>
      <c r="G92" s="190"/>
      <c r="H92" s="190"/>
    </row>
    <row r="93" spans="2:23" ht="15" hidden="1" x14ac:dyDescent="0.25">
      <c r="D93" s="112" t="s">
        <v>326</v>
      </c>
      <c r="E93" s="112"/>
      <c r="F93" s="112" t="s">
        <v>327</v>
      </c>
      <c r="G93" s="90"/>
      <c r="H93" s="112" t="s">
        <v>328</v>
      </c>
    </row>
    <row r="94" spans="2:23" ht="15" hidden="1" x14ac:dyDescent="0.25"/>
    <row r="95" spans="2:23" ht="16.5" hidden="1" thickTop="1" thickBot="1" x14ac:dyDescent="0.3">
      <c r="B95" s="95" t="s">
        <v>139</v>
      </c>
      <c r="C95" s="56"/>
      <c r="D95" s="5"/>
      <c r="E95" s="57"/>
      <c r="F95" s="5"/>
      <c r="G95" s="58"/>
      <c r="H95" s="5"/>
      <c r="T95" s="6" t="str">
        <f ca="1">CELL("address",F95)</f>
        <v>$F$95</v>
      </c>
      <c r="U95" s="6" t="s">
        <v>415</v>
      </c>
      <c r="V95" s="6" t="str">
        <f ca="1">CELL("address",H95)</f>
        <v>$H$95</v>
      </c>
      <c r="W95" s="6" t="s">
        <v>415</v>
      </c>
    </row>
    <row r="96" spans="2:23" ht="15" hidden="1" x14ac:dyDescent="0.25">
      <c r="B96" s="90"/>
      <c r="D96" s="58"/>
      <c r="E96" s="59"/>
      <c r="F96" s="58"/>
      <c r="G96" s="58"/>
      <c r="H96" s="58"/>
      <c r="T96" s="6" t="str">
        <f ca="1">CELL("address",F97)</f>
        <v>$F$97</v>
      </c>
      <c r="U96" s="6" t="s">
        <v>440</v>
      </c>
      <c r="V96" s="6" t="str">
        <f ca="1">CELL("address",H97)</f>
        <v>$H$97</v>
      </c>
      <c r="W96" s="6" t="s">
        <v>440</v>
      </c>
    </row>
    <row r="97" spans="2:23" ht="36" hidden="1" customHeight="1" x14ac:dyDescent="0.25">
      <c r="B97" s="95" t="s">
        <v>137</v>
      </c>
      <c r="C97" s="56"/>
      <c r="D97" s="4"/>
      <c r="E97" s="60"/>
      <c r="F97" s="4"/>
      <c r="G97" s="58"/>
      <c r="H97" s="4"/>
      <c r="T97" s="6" t="str">
        <f ca="1">CELL("address",F99)</f>
        <v>$F$99</v>
      </c>
      <c r="U97" s="6" t="s">
        <v>441</v>
      </c>
      <c r="V97" s="6" t="str">
        <f ca="1">CELL("address",H99)</f>
        <v>$H$99</v>
      </c>
      <c r="W97" s="6" t="s">
        <v>441</v>
      </c>
    </row>
    <row r="98" spans="2:23" ht="15" hidden="1" x14ac:dyDescent="0.25">
      <c r="B98" s="96"/>
      <c r="C98" s="61"/>
      <c r="D98" s="58"/>
      <c r="E98" s="59"/>
      <c r="F98" s="58"/>
      <c r="G98" s="58"/>
      <c r="H98" s="58"/>
    </row>
    <row r="99" spans="2:23" ht="15" hidden="1" x14ac:dyDescent="0.25">
      <c r="B99" s="95" t="s">
        <v>138</v>
      </c>
      <c r="C99" s="56"/>
      <c r="D99" s="4"/>
      <c r="E99" s="60"/>
      <c r="F99" s="4"/>
      <c r="G99" s="58"/>
      <c r="H99" s="4"/>
    </row>
    <row r="100" spans="2:23" ht="15" hidden="1" x14ac:dyDescent="0.25">
      <c r="B100" s="90"/>
      <c r="E100" s="62"/>
    </row>
    <row r="101" spans="2:23" ht="15" hidden="1" x14ac:dyDescent="0.25">
      <c r="B101" s="90"/>
      <c r="D101" s="112" t="s">
        <v>329</v>
      </c>
      <c r="E101" s="164"/>
      <c r="F101" s="112" t="s">
        <v>330</v>
      </c>
      <c r="G101" s="90"/>
      <c r="H101" s="112" t="s">
        <v>370</v>
      </c>
    </row>
    <row r="102" spans="2:23" ht="15" hidden="1" x14ac:dyDescent="0.25">
      <c r="B102" s="90"/>
      <c r="E102" s="62"/>
    </row>
    <row r="103" spans="2:23" ht="16.5" hidden="1" thickTop="1" thickBot="1" x14ac:dyDescent="0.3">
      <c r="B103" s="95" t="s">
        <v>139</v>
      </c>
      <c r="C103" s="56"/>
      <c r="D103" s="5"/>
      <c r="E103" s="57"/>
      <c r="F103" s="5"/>
      <c r="G103" s="58"/>
      <c r="H103" s="5"/>
      <c r="T103" s="6" t="str">
        <f ca="1">CELL("address",F103)</f>
        <v>$F$103</v>
      </c>
      <c r="U103" s="6" t="s">
        <v>415</v>
      </c>
      <c r="V103" s="6" t="str">
        <f ca="1">CELL("address",H103)</f>
        <v>$H$103</v>
      </c>
      <c r="W103" s="6" t="s">
        <v>415</v>
      </c>
    </row>
    <row r="104" spans="2:23" ht="15" hidden="1" x14ac:dyDescent="0.25">
      <c r="B104" s="90"/>
      <c r="D104" s="58"/>
      <c r="E104" s="59"/>
      <c r="F104" s="58"/>
      <c r="G104" s="58"/>
      <c r="H104" s="58"/>
      <c r="T104" s="6" t="str">
        <f ca="1">CELL("address",F105)</f>
        <v>$F$105</v>
      </c>
      <c r="U104" s="6" t="s">
        <v>440</v>
      </c>
      <c r="V104" s="6" t="str">
        <f ca="1">CELL("address",H105)</f>
        <v>$H$105</v>
      </c>
      <c r="W104" s="6" t="s">
        <v>440</v>
      </c>
    </row>
    <row r="105" spans="2:23" ht="36" hidden="1" customHeight="1" x14ac:dyDescent="0.25">
      <c r="B105" s="95" t="s">
        <v>137</v>
      </c>
      <c r="C105" s="56"/>
      <c r="D105" s="4"/>
      <c r="E105" s="60"/>
      <c r="F105" s="4"/>
      <c r="G105" s="58"/>
      <c r="H105" s="4"/>
      <c r="T105" s="6" t="str">
        <f ca="1">CELL("address",F107)</f>
        <v>$F$107</v>
      </c>
      <c r="U105" s="6" t="s">
        <v>441</v>
      </c>
      <c r="V105" s="6" t="str">
        <f ca="1">CELL("address",H107)</f>
        <v>$H$107</v>
      </c>
      <c r="W105" s="6" t="s">
        <v>441</v>
      </c>
    </row>
    <row r="106" spans="2:23" ht="15" hidden="1" x14ac:dyDescent="0.25">
      <c r="B106" s="96"/>
      <c r="C106" s="61"/>
      <c r="D106" s="58"/>
      <c r="E106" s="59"/>
      <c r="F106" s="58"/>
      <c r="G106" s="58"/>
      <c r="H106" s="58"/>
    </row>
    <row r="107" spans="2:23" ht="15" hidden="1" x14ac:dyDescent="0.25">
      <c r="B107" s="95" t="s">
        <v>138</v>
      </c>
      <c r="C107" s="56"/>
      <c r="D107" s="4"/>
      <c r="E107" s="60"/>
      <c r="F107" s="4"/>
      <c r="G107" s="58"/>
      <c r="H107" s="4"/>
    </row>
    <row r="108" spans="2:23" ht="15" hidden="1" x14ac:dyDescent="0.25">
      <c r="B108" s="90"/>
      <c r="E108" s="62"/>
    </row>
    <row r="109" spans="2:23" ht="23.25" hidden="1" x14ac:dyDescent="0.25">
      <c r="B109" s="90"/>
      <c r="D109" s="198" t="s">
        <v>333</v>
      </c>
      <c r="E109" s="198"/>
      <c r="F109" s="198"/>
      <c r="G109" s="198"/>
      <c r="H109" s="198"/>
    </row>
    <row r="110" spans="2:23" ht="44.4" hidden="1" customHeight="1" x14ac:dyDescent="0.25">
      <c r="B110" s="90"/>
      <c r="D110" s="190" t="s">
        <v>443</v>
      </c>
      <c r="E110" s="190"/>
      <c r="F110" s="190"/>
      <c r="G110" s="190"/>
      <c r="H110" s="190"/>
    </row>
    <row r="111" spans="2:23" ht="15" hidden="1" x14ac:dyDescent="0.25">
      <c r="B111" s="90"/>
      <c r="D111" s="112" t="s">
        <v>334</v>
      </c>
      <c r="E111" s="112"/>
      <c r="F111" s="112" t="s">
        <v>335</v>
      </c>
      <c r="G111" s="90"/>
      <c r="H111" s="112" t="s">
        <v>336</v>
      </c>
    </row>
    <row r="112" spans="2:23" ht="15" hidden="1" x14ac:dyDescent="0.25">
      <c r="B112" s="90"/>
    </row>
    <row r="113" spans="2:23" ht="36" hidden="1" customHeight="1" x14ac:dyDescent="0.25">
      <c r="B113" s="95" t="s">
        <v>137</v>
      </c>
      <c r="C113" s="56"/>
      <c r="D113" s="1"/>
      <c r="E113" s="47"/>
      <c r="F113" s="1"/>
      <c r="H113" s="1"/>
      <c r="T113" s="6" t="str">
        <f ca="1">CELL("address",F113)</f>
        <v>$F$113</v>
      </c>
      <c r="U113" s="6" t="s">
        <v>440</v>
      </c>
      <c r="V113" s="6" t="str">
        <f ca="1">CELL("address",H113)</f>
        <v>$H$113</v>
      </c>
      <c r="W113" s="6" t="s">
        <v>440</v>
      </c>
    </row>
    <row r="114" spans="2:23" ht="15" hidden="1" x14ac:dyDescent="0.25">
      <c r="B114" s="96"/>
      <c r="C114" s="61"/>
      <c r="E114" s="62"/>
      <c r="T114" s="6" t="str">
        <f ca="1">CELL("address",F115)</f>
        <v>$F$115</v>
      </c>
      <c r="U114" s="6" t="s">
        <v>442</v>
      </c>
      <c r="V114" s="6" t="str">
        <f ca="1">CELL("address",H115)</f>
        <v>$H$115</v>
      </c>
      <c r="W114" s="6" t="s">
        <v>442</v>
      </c>
    </row>
    <row r="115" spans="2:23" ht="15" hidden="1" x14ac:dyDescent="0.25">
      <c r="B115" s="95" t="s">
        <v>140</v>
      </c>
      <c r="C115" s="56"/>
      <c r="D115" s="2"/>
      <c r="E115" s="63"/>
      <c r="F115" s="2"/>
      <c r="H115" s="2"/>
    </row>
    <row r="116" spans="2:23" ht="15" hidden="1" x14ac:dyDescent="0.25">
      <c r="B116" s="90"/>
      <c r="E116" s="62"/>
    </row>
    <row r="117" spans="2:23" ht="15" hidden="1" x14ac:dyDescent="0.25">
      <c r="B117" s="90"/>
      <c r="D117" s="112" t="s">
        <v>337</v>
      </c>
      <c r="E117" s="164"/>
      <c r="F117" s="112" t="s">
        <v>338</v>
      </c>
      <c r="G117" s="90"/>
      <c r="H117" s="112" t="s">
        <v>374</v>
      </c>
    </row>
    <row r="118" spans="2:23" ht="15" hidden="1" x14ac:dyDescent="0.25">
      <c r="B118" s="90"/>
      <c r="E118" s="62"/>
    </row>
    <row r="119" spans="2:23" ht="36" hidden="1" customHeight="1" x14ac:dyDescent="0.25">
      <c r="B119" s="95" t="s">
        <v>137</v>
      </c>
      <c r="C119" s="56"/>
      <c r="D119" s="1"/>
      <c r="E119" s="47"/>
      <c r="F119" s="1"/>
      <c r="H119" s="1"/>
      <c r="T119" s="6" t="str">
        <f ca="1">CELL("address",F119)</f>
        <v>$F$119</v>
      </c>
      <c r="U119" s="6" t="s">
        <v>440</v>
      </c>
      <c r="V119" s="6" t="str">
        <f ca="1">CELL("address",H119)</f>
        <v>$H$119</v>
      </c>
      <c r="W119" s="6" t="s">
        <v>440</v>
      </c>
    </row>
    <row r="120" spans="2:23" ht="15" hidden="1" x14ac:dyDescent="0.25">
      <c r="B120" s="61"/>
      <c r="C120" s="61"/>
      <c r="E120" s="62"/>
      <c r="T120" s="6" t="str">
        <f ca="1">CELL("address",F121)</f>
        <v>$F$121</v>
      </c>
      <c r="U120" s="6" t="s">
        <v>442</v>
      </c>
      <c r="V120" s="6" t="str">
        <f ca="1">CELL("address",H121)</f>
        <v>$H$121</v>
      </c>
      <c r="W120" s="6" t="s">
        <v>442</v>
      </c>
    </row>
    <row r="121" spans="2:23" ht="15" hidden="1" x14ac:dyDescent="0.25">
      <c r="B121" s="95" t="s">
        <v>140</v>
      </c>
      <c r="C121" s="56"/>
      <c r="D121" s="2"/>
      <c r="E121" s="63"/>
      <c r="F121" s="2"/>
      <c r="H121" s="2"/>
    </row>
    <row r="122" spans="2:23" ht="23.25" hidden="1" x14ac:dyDescent="0.25">
      <c r="D122" s="181" t="s">
        <v>379</v>
      </c>
      <c r="E122" s="181"/>
      <c r="F122" s="181"/>
      <c r="G122" s="181"/>
      <c r="H122" s="181"/>
    </row>
    <row r="123" spans="2:23" ht="15" hidden="1" x14ac:dyDescent="0.25"/>
    <row r="124" spans="2:23" ht="15" hidden="1" x14ac:dyDescent="0.25">
      <c r="B124" s="64" t="s">
        <v>375</v>
      </c>
      <c r="D124" s="182"/>
      <c r="E124" s="183"/>
      <c r="F124" s="183"/>
      <c r="G124" s="183"/>
      <c r="H124" s="184"/>
      <c r="I124" s="9" t="str">
        <f>CONCATENATE(LEN(D124)," of 500 characters")</f>
        <v>0 of 500 characters</v>
      </c>
    </row>
    <row r="125" spans="2:23" ht="15" hidden="1" x14ac:dyDescent="0.25">
      <c r="E125" s="62"/>
    </row>
    <row r="126" spans="2:23" ht="15" hidden="1" x14ac:dyDescent="0.25">
      <c r="B126" s="64" t="s">
        <v>376</v>
      </c>
      <c r="D126" s="182"/>
      <c r="E126" s="183"/>
      <c r="F126" s="183"/>
      <c r="G126" s="183"/>
      <c r="H126" s="184"/>
      <c r="I126" s="9" t="str">
        <f>CONCATENATE(LEN(D126)," of 500 characters")</f>
        <v>0 of 500 characters</v>
      </c>
    </row>
    <row r="127" spans="2:23" ht="15" hidden="1" x14ac:dyDescent="0.25">
      <c r="E127" s="62"/>
    </row>
    <row r="128" spans="2:23" ht="16.5" hidden="1" thickTop="1" thickBot="1" x14ac:dyDescent="0.3">
      <c r="B128" s="64" t="s">
        <v>377</v>
      </c>
      <c r="D128" s="3"/>
      <c r="E128" s="47"/>
      <c r="I128" s="9"/>
    </row>
    <row r="129" spans="2:9" ht="15" hidden="1" x14ac:dyDescent="0.25">
      <c r="E129" s="62"/>
    </row>
    <row r="130" spans="2:9" ht="15" hidden="1" x14ac:dyDescent="0.25">
      <c r="B130" s="64" t="s">
        <v>378</v>
      </c>
      <c r="D130" s="182"/>
      <c r="E130" s="183"/>
      <c r="F130" s="183"/>
      <c r="G130" s="183"/>
      <c r="H130" s="184"/>
      <c r="I130" s="9" t="str">
        <f>CONCATENATE(LEN(D130)," of 500 characters")</f>
        <v>0 of 500 characters</v>
      </c>
    </row>
    <row r="131" spans="2:9" ht="15" hidden="1" x14ac:dyDescent="0.25"/>
    <row r="132" spans="2:9" ht="4.95" hidden="1" customHeight="1" x14ac:dyDescent="0.25">
      <c r="B132" s="25"/>
      <c r="C132" s="25"/>
      <c r="D132" s="37"/>
      <c r="E132" s="38"/>
      <c r="F132" s="25"/>
      <c r="G132" s="39"/>
      <c r="H132" s="39"/>
    </row>
    <row r="133" spans="2:9" s="18" customFormat="1" ht="4.95" hidden="1" customHeight="1" x14ac:dyDescent="0.25">
      <c r="D133" s="40"/>
      <c r="E133" s="23"/>
      <c r="F133" s="24"/>
    </row>
    <row r="134" spans="2:9" ht="15" hidden="1" x14ac:dyDescent="0.25">
      <c r="C134" s="30"/>
      <c r="D134" s="34"/>
      <c r="E134" s="36"/>
      <c r="F134" s="30"/>
    </row>
    <row r="135" spans="2:9" ht="4.95" hidden="1" customHeight="1" x14ac:dyDescent="0.25">
      <c r="C135" s="30"/>
      <c r="D135" s="34"/>
      <c r="E135" s="36"/>
      <c r="F135" s="30"/>
    </row>
    <row r="136" spans="2:9" ht="4.95" hidden="1" customHeight="1" x14ac:dyDescent="0.25">
      <c r="B136" s="25"/>
      <c r="C136" s="25"/>
      <c r="D136" s="37"/>
      <c r="E136" s="38"/>
      <c r="F136" s="25"/>
      <c r="G136" s="39"/>
      <c r="H136" s="39"/>
    </row>
    <row r="137" spans="2:9" ht="34.950000000000003" hidden="1" customHeight="1" x14ac:dyDescent="0.25">
      <c r="D137" s="65" t="s">
        <v>141</v>
      </c>
      <c r="F137" s="149"/>
    </row>
    <row r="138" spans="2:9" ht="2.7" hidden="1" customHeight="1" x14ac:dyDescent="0.25">
      <c r="B138" s="66"/>
      <c r="C138" s="66"/>
      <c r="D138" s="67"/>
      <c r="E138" s="66"/>
      <c r="F138" s="68"/>
      <c r="G138" s="66"/>
      <c r="H138" s="66"/>
    </row>
    <row r="139" spans="2:9" ht="34.950000000000003" hidden="1" customHeight="1" x14ac:dyDescent="0.25">
      <c r="D139" s="65" t="s">
        <v>344</v>
      </c>
      <c r="F139" s="149"/>
    </row>
    <row r="140" spans="2:9" ht="4.95" hidden="1" customHeight="1" x14ac:dyDescent="0.25">
      <c r="B140" s="25"/>
      <c r="C140" s="25"/>
      <c r="D140" s="37"/>
      <c r="E140" s="38"/>
      <c r="F140" s="25"/>
      <c r="G140" s="39"/>
      <c r="H140" s="39"/>
    </row>
    <row r="141" spans="2:9" s="18" customFormat="1" ht="4.95" hidden="1" customHeight="1" x14ac:dyDescent="0.25">
      <c r="D141" s="40"/>
      <c r="E141" s="23"/>
      <c r="F141" s="24"/>
    </row>
    <row r="142" spans="2:9" ht="15" hidden="1" x14ac:dyDescent="0.25">
      <c r="C142" s="30"/>
      <c r="D142" s="34"/>
      <c r="E142" s="36"/>
      <c r="F142" s="30"/>
    </row>
    <row r="143" spans="2:9" ht="4.95" customHeight="1" x14ac:dyDescent="0.3">
      <c r="C143" s="30"/>
      <c r="D143" s="34"/>
      <c r="E143" s="36"/>
      <c r="F143" s="30"/>
    </row>
    <row r="144" spans="2:9" ht="4.95" customHeight="1" x14ac:dyDescent="0.3">
      <c r="B144" s="109"/>
      <c r="C144" s="109"/>
      <c r="D144" s="109"/>
      <c r="E144" s="109"/>
      <c r="F144" s="109"/>
      <c r="G144" s="109"/>
      <c r="H144" s="109"/>
    </row>
    <row r="170" spans="2:6" ht="15" hidden="1" x14ac:dyDescent="0.25"/>
    <row r="171" spans="2:6" ht="15" hidden="1" x14ac:dyDescent="0.25"/>
    <row r="172" spans="2:6" ht="15" hidden="1" x14ac:dyDescent="0.25"/>
    <row r="173" spans="2:6" ht="15" hidden="1" x14ac:dyDescent="0.25"/>
    <row r="174" spans="2:6" ht="15" hidden="1" x14ac:dyDescent="0.25">
      <c r="D174" s="6" t="str">
        <f ca="1">CELL("address",B4)</f>
        <v>$B$4</v>
      </c>
      <c r="E174" s="70"/>
      <c r="F174" s="6" t="s">
        <v>415</v>
      </c>
    </row>
    <row r="175" spans="2:6" ht="15" hidden="1" x14ac:dyDescent="0.25">
      <c r="B175" s="69" t="s">
        <v>353</v>
      </c>
      <c r="D175" s="6" t="str">
        <f ca="1">CELL("address",H2)</f>
        <v>$H$2</v>
      </c>
      <c r="F175" s="6" t="s">
        <v>413</v>
      </c>
    </row>
    <row r="176" spans="2:6" ht="15" hidden="1" x14ac:dyDescent="0.25">
      <c r="B176" s="70" t="s">
        <v>397</v>
      </c>
      <c r="D176" s="6" t="str">
        <f ca="1">CELL("address",D4)</f>
        <v>$D$4</v>
      </c>
      <c r="F176" s="6" t="s">
        <v>393</v>
      </c>
    </row>
    <row r="177" spans="2:6" ht="15" hidden="1" x14ac:dyDescent="0.25">
      <c r="B177" s="18" t="s">
        <v>359</v>
      </c>
      <c r="D177" s="6" t="str">
        <f ca="1">CELL("address",D7)</f>
        <v>$D$7</v>
      </c>
      <c r="F177" s="6" t="s">
        <v>394</v>
      </c>
    </row>
    <row r="178" spans="2:6" ht="15" hidden="1" x14ac:dyDescent="0.25">
      <c r="D178" s="6" t="str">
        <f ca="1">CELL("address",D9)</f>
        <v>$D$9</v>
      </c>
      <c r="F178" s="6" t="s">
        <v>395</v>
      </c>
    </row>
    <row r="179" spans="2:6" ht="15" hidden="1" x14ac:dyDescent="0.25">
      <c r="D179" s="6" t="str">
        <f ca="1">CELL("address",D13)</f>
        <v>$D$13</v>
      </c>
      <c r="F179" s="6" t="s">
        <v>396</v>
      </c>
    </row>
    <row r="180" spans="2:6" ht="15" hidden="1" x14ac:dyDescent="0.25">
      <c r="B180" s="69" t="s">
        <v>148</v>
      </c>
      <c r="C180" s="69"/>
    </row>
    <row r="181" spans="2:6" ht="15" hidden="1" x14ac:dyDescent="0.25">
      <c r="B181" s="18" t="s">
        <v>142</v>
      </c>
      <c r="C181" s="18"/>
      <c r="D181" s="6" t="e">
        <f ca="1">CELL("address",#REF!)</f>
        <v>#REF!</v>
      </c>
    </row>
    <row r="182" spans="2:6" ht="15" hidden="1" x14ac:dyDescent="0.25">
      <c r="B182" s="18" t="s">
        <v>143</v>
      </c>
      <c r="C182" s="18"/>
      <c r="D182" s="6" t="e">
        <f ca="1">CELL("address",#REF!)</f>
        <v>#REF!</v>
      </c>
    </row>
    <row r="183" spans="2:6" ht="15" hidden="1" x14ac:dyDescent="0.25">
      <c r="B183" s="18" t="s">
        <v>144</v>
      </c>
      <c r="C183" s="18"/>
      <c r="D183" s="6" t="e">
        <f ca="1">CELL("address",#REF!)</f>
        <v>#REF!</v>
      </c>
    </row>
    <row r="184" spans="2:6" ht="15" hidden="1" x14ac:dyDescent="0.25">
      <c r="B184" s="18" t="s">
        <v>145</v>
      </c>
      <c r="C184" s="18"/>
      <c r="D184" s="6" t="e">
        <f ca="1">CELL("address",#REF!)</f>
        <v>#REF!</v>
      </c>
    </row>
    <row r="185" spans="2:6" ht="15" hidden="1" x14ac:dyDescent="0.25">
      <c r="B185" s="18" t="s">
        <v>146</v>
      </c>
      <c r="C185" s="18"/>
      <c r="D185" s="6" t="e">
        <f ca="1">CELL("address",#REF!)</f>
        <v>#REF!</v>
      </c>
    </row>
    <row r="186" spans="2:6" ht="15" hidden="1" x14ac:dyDescent="0.25">
      <c r="B186" s="18" t="s">
        <v>147</v>
      </c>
      <c r="C186" s="18"/>
      <c r="D186" s="6" t="e">
        <f ca="1">CELL("address",#REF!)</f>
        <v>#REF!</v>
      </c>
    </row>
    <row r="187" spans="2:6" ht="15" hidden="1" x14ac:dyDescent="0.25"/>
    <row r="188" spans="2:6" ht="15" hidden="1" x14ac:dyDescent="0.25">
      <c r="D188" s="6" t="e">
        <f ca="1">CELL("address",#REF!)</f>
        <v>#REF!</v>
      </c>
      <c r="F188" s="6" t="s">
        <v>438</v>
      </c>
    </row>
    <row r="189" spans="2:6" ht="15" hidden="1" x14ac:dyDescent="0.25"/>
    <row r="190" spans="2:6" ht="15" hidden="1" x14ac:dyDescent="0.25">
      <c r="B190" s="69" t="s">
        <v>149</v>
      </c>
      <c r="C190" s="69"/>
    </row>
    <row r="191" spans="2:6" ht="15" hidden="1" x14ac:dyDescent="0.25">
      <c r="B191" s="18" t="s">
        <v>150</v>
      </c>
      <c r="C191" s="18"/>
    </row>
    <row r="192" spans="2:6" ht="15" hidden="1" x14ac:dyDescent="0.25">
      <c r="B192" s="18" t="s">
        <v>151</v>
      </c>
      <c r="C192" s="18"/>
    </row>
    <row r="193" spans="2:2" ht="15" hidden="1" x14ac:dyDescent="0.25"/>
    <row r="194" spans="2:2" ht="15" hidden="1" x14ac:dyDescent="0.25">
      <c r="B194" s="162" t="s">
        <v>439</v>
      </c>
    </row>
    <row r="195" spans="2:2" ht="15" hidden="1" x14ac:dyDescent="0.25"/>
    <row r="196" spans="2:2" ht="15" hidden="1" x14ac:dyDescent="0.25"/>
    <row r="197" spans="2:2" ht="15" hidden="1" x14ac:dyDescent="0.25"/>
    <row r="198" spans="2:2" ht="15" hidden="1" x14ac:dyDescent="0.25"/>
    <row r="199" spans="2:2" ht="15" hidden="1" x14ac:dyDescent="0.25"/>
    <row r="200" spans="2:2" ht="15" hidden="1" x14ac:dyDescent="0.25"/>
    <row r="201" spans="2:2" ht="15" hidden="1" x14ac:dyDescent="0.25"/>
    <row r="202" spans="2:2" ht="15" hidden="1" x14ac:dyDescent="0.25"/>
    <row r="203" spans="2:2" ht="15" hidden="1" x14ac:dyDescent="0.25"/>
    <row r="204" spans="2:2" ht="15" hidden="1" x14ac:dyDescent="0.25"/>
    <row r="205" spans="2:2" ht="15" hidden="1" x14ac:dyDescent="0.25"/>
    <row r="206" spans="2:2" ht="15" hidden="1" x14ac:dyDescent="0.25"/>
    <row r="207" spans="2:2" ht="15" hidden="1" x14ac:dyDescent="0.25"/>
    <row r="208" spans="2:2" ht="15" hidden="1" x14ac:dyDescent="0.25"/>
    <row r="209" ht="15" hidden="1" x14ac:dyDescent="0.25"/>
    <row r="210" ht="15" hidden="1" x14ac:dyDescent="0.25"/>
    <row r="211" ht="15" hidden="1" x14ac:dyDescent="0.25"/>
    <row r="212" ht="15" hidden="1" x14ac:dyDescent="0.25"/>
    <row r="213" ht="15" hidden="1" x14ac:dyDescent="0.25"/>
    <row r="214" ht="15" hidden="1" x14ac:dyDescent="0.25"/>
    <row r="215" ht="15" hidden="1" x14ac:dyDescent="0.25"/>
    <row r="216" ht="15" hidden="1" x14ac:dyDescent="0.25"/>
    <row r="217" ht="15" hidden="1" x14ac:dyDescent="0.25"/>
    <row r="218" ht="15" hidden="1" x14ac:dyDescent="0.25"/>
    <row r="219" ht="15" hidden="1" x14ac:dyDescent="0.25"/>
    <row r="220" ht="15" hidden="1" x14ac:dyDescent="0.25"/>
    <row r="221" ht="15" hidden="1" x14ac:dyDescent="0.25"/>
    <row r="222" ht="15" hidden="1" x14ac:dyDescent="0.25"/>
    <row r="223" ht="15" hidden="1" x14ac:dyDescent="0.25"/>
    <row r="224" ht="15" hidden="1" x14ac:dyDescent="0.25"/>
    <row r="225" ht="15" hidden="1" x14ac:dyDescent="0.25"/>
    <row r="226" ht="15" hidden="1" x14ac:dyDescent="0.25"/>
    <row r="227" ht="15" hidden="1" x14ac:dyDescent="0.25"/>
    <row r="228" ht="15" hidden="1" x14ac:dyDescent="0.25"/>
    <row r="229" ht="15" hidden="1" x14ac:dyDescent="0.25"/>
    <row r="230" ht="15" hidden="1" x14ac:dyDescent="0.25"/>
    <row r="231" ht="15" hidden="1" x14ac:dyDescent="0.25"/>
    <row r="232" ht="15" hidden="1" x14ac:dyDescent="0.25"/>
    <row r="233" ht="15" hidden="1" x14ac:dyDescent="0.25"/>
    <row r="234" ht="15" hidden="1" x14ac:dyDescent="0.25"/>
    <row r="235" ht="15" hidden="1" x14ac:dyDescent="0.25"/>
    <row r="236" ht="15" hidden="1" x14ac:dyDescent="0.25"/>
    <row r="237" ht="15" hidden="1" x14ac:dyDescent="0.25"/>
    <row r="238" ht="15" hidden="1" x14ac:dyDescent="0.25"/>
    <row r="239" ht="15" hidden="1" x14ac:dyDescent="0.25"/>
    <row r="240" ht="15" hidden="1" x14ac:dyDescent="0.25"/>
    <row r="241" ht="15" hidden="1" x14ac:dyDescent="0.25"/>
    <row r="242" ht="15" hidden="1" x14ac:dyDescent="0.25"/>
    <row r="243" ht="15" hidden="1" x14ac:dyDescent="0.25"/>
    <row r="244" ht="15" hidden="1" x14ac:dyDescent="0.25"/>
    <row r="245" ht="15" hidden="1" x14ac:dyDescent="0.25"/>
    <row r="246" ht="15" hidden="1" x14ac:dyDescent="0.25"/>
    <row r="247" ht="15" hidden="1" x14ac:dyDescent="0.25"/>
    <row r="248" ht="15" hidden="1" x14ac:dyDescent="0.25"/>
    <row r="249" ht="15" hidden="1" x14ac:dyDescent="0.25"/>
    <row r="250" ht="15" hidden="1" x14ac:dyDescent="0.25"/>
    <row r="251" ht="15" hidden="1" x14ac:dyDescent="0.25"/>
    <row r="252" ht="15" hidden="1" x14ac:dyDescent="0.25"/>
    <row r="253" ht="15" hidden="1" x14ac:dyDescent="0.25"/>
    <row r="254" ht="15" hidden="1" x14ac:dyDescent="0.25"/>
    <row r="255" ht="15" hidden="1" x14ac:dyDescent="0.25"/>
    <row r="256" ht="15" hidden="1" x14ac:dyDescent="0.25"/>
    <row r="257" ht="15" hidden="1" x14ac:dyDescent="0.25"/>
    <row r="258" ht="15" hidden="1" x14ac:dyDescent="0.25"/>
    <row r="259" ht="15" hidden="1" x14ac:dyDescent="0.25"/>
    <row r="260" ht="15" hidden="1" x14ac:dyDescent="0.25"/>
    <row r="261" ht="15" hidden="1" x14ac:dyDescent="0.25"/>
    <row r="262" ht="15" hidden="1" x14ac:dyDescent="0.25"/>
    <row r="263" ht="15" hidden="1" x14ac:dyDescent="0.25"/>
    <row r="264" ht="15" hidden="1" x14ac:dyDescent="0.25"/>
    <row r="265" ht="15" hidden="1" x14ac:dyDescent="0.25"/>
    <row r="266" ht="15" hidden="1" x14ac:dyDescent="0.25"/>
    <row r="267" ht="15" hidden="1" x14ac:dyDescent="0.25"/>
    <row r="268" ht="15" hidden="1" x14ac:dyDescent="0.25"/>
    <row r="269" ht="15" hidden="1" x14ac:dyDescent="0.25"/>
    <row r="270" ht="15" hidden="1" x14ac:dyDescent="0.25"/>
    <row r="271" ht="15" hidden="1" x14ac:dyDescent="0.25"/>
    <row r="272" ht="15" hidden="1" x14ac:dyDescent="0.25"/>
    <row r="273" spans="2:3" ht="15" hidden="1" x14ac:dyDescent="0.25"/>
    <row r="274" spans="2:3" ht="15" hidden="1" x14ac:dyDescent="0.25"/>
    <row r="275" spans="2:3" ht="15" hidden="1" x14ac:dyDescent="0.25"/>
    <row r="276" spans="2:3" ht="15" hidden="1" x14ac:dyDescent="0.25"/>
    <row r="277" spans="2:3" ht="15" hidden="1" x14ac:dyDescent="0.25"/>
    <row r="278" spans="2:3" ht="15" hidden="1" x14ac:dyDescent="0.25">
      <c r="B278" s="69" t="s">
        <v>156</v>
      </c>
      <c r="C278" s="69"/>
    </row>
    <row r="279" spans="2:3" ht="15" hidden="1" x14ac:dyDescent="0.25">
      <c r="B279" s="71" t="s">
        <v>152</v>
      </c>
      <c r="C279" s="71"/>
    </row>
    <row r="280" spans="2:3" ht="15" hidden="1" x14ac:dyDescent="0.25">
      <c r="B280" s="71" t="s">
        <v>153</v>
      </c>
      <c r="C280" s="71"/>
    </row>
    <row r="281" spans="2:3" ht="15" hidden="1" x14ac:dyDescent="0.25">
      <c r="B281" s="71" t="s">
        <v>154</v>
      </c>
      <c r="C281" s="71"/>
    </row>
    <row r="282" spans="2:3" ht="15" hidden="1" x14ac:dyDescent="0.25">
      <c r="B282" s="71" t="s">
        <v>155</v>
      </c>
      <c r="C282" s="71"/>
    </row>
    <row r="283" spans="2:3" ht="15" hidden="1" x14ac:dyDescent="0.25"/>
    <row r="284" spans="2:3" ht="15" hidden="1" x14ac:dyDescent="0.25">
      <c r="B284" s="72" t="s">
        <v>183</v>
      </c>
      <c r="C284" s="72"/>
    </row>
    <row r="285" spans="2:3" ht="15" hidden="1" x14ac:dyDescent="0.25">
      <c r="B285" s="73" t="s">
        <v>157</v>
      </c>
      <c r="C285" s="73"/>
    </row>
    <row r="286" spans="2:3" ht="15" hidden="1" x14ac:dyDescent="0.25">
      <c r="B286" s="73" t="s">
        <v>158</v>
      </c>
      <c r="C286" s="73"/>
    </row>
    <row r="287" spans="2:3" ht="15" hidden="1" x14ac:dyDescent="0.25">
      <c r="B287" s="73" t="s">
        <v>159</v>
      </c>
      <c r="C287" s="73"/>
    </row>
    <row r="288" spans="2:3" ht="15" hidden="1" x14ac:dyDescent="0.25">
      <c r="B288" s="73" t="s">
        <v>160</v>
      </c>
      <c r="C288" s="73"/>
    </row>
    <row r="289" spans="2:3" ht="15" hidden="1" x14ac:dyDescent="0.25">
      <c r="B289" s="73" t="s">
        <v>161</v>
      </c>
      <c r="C289" s="73"/>
    </row>
    <row r="290" spans="2:3" ht="15" hidden="1" x14ac:dyDescent="0.25">
      <c r="B290" s="74" t="s">
        <v>162</v>
      </c>
      <c r="C290" s="74"/>
    </row>
    <row r="291" spans="2:3" ht="15" hidden="1" x14ac:dyDescent="0.25">
      <c r="B291" s="74" t="s">
        <v>163</v>
      </c>
      <c r="C291" s="74"/>
    </row>
    <row r="292" spans="2:3" ht="15" hidden="1" x14ac:dyDescent="0.25">
      <c r="B292" s="74" t="s">
        <v>164</v>
      </c>
      <c r="C292" s="74"/>
    </row>
    <row r="293" spans="2:3" ht="15" hidden="1" x14ac:dyDescent="0.25">
      <c r="B293" s="74" t="s">
        <v>165</v>
      </c>
      <c r="C293" s="74"/>
    </row>
    <row r="294" spans="2:3" ht="15" hidden="1" x14ac:dyDescent="0.25">
      <c r="B294" s="73" t="s">
        <v>166</v>
      </c>
      <c r="C294" s="73"/>
    </row>
    <row r="295" spans="2:3" ht="15" hidden="1" x14ac:dyDescent="0.25">
      <c r="B295" s="74" t="s">
        <v>167</v>
      </c>
      <c r="C295" s="74"/>
    </row>
    <row r="296" spans="2:3" ht="15" hidden="1" x14ac:dyDescent="0.25">
      <c r="B296" s="74" t="s">
        <v>168</v>
      </c>
      <c r="C296" s="74"/>
    </row>
    <row r="297" spans="2:3" ht="15" hidden="1" x14ac:dyDescent="0.25">
      <c r="B297" s="74" t="s">
        <v>169</v>
      </c>
      <c r="C297" s="74"/>
    </row>
    <row r="298" spans="2:3" ht="15" hidden="1" x14ac:dyDescent="0.25">
      <c r="B298" s="74" t="s">
        <v>170</v>
      </c>
      <c r="C298" s="74"/>
    </row>
    <row r="299" spans="2:3" ht="15" hidden="1" x14ac:dyDescent="0.25">
      <c r="B299" s="73" t="s">
        <v>171</v>
      </c>
      <c r="C299" s="73"/>
    </row>
    <row r="300" spans="2:3" ht="15" hidden="1" x14ac:dyDescent="0.25">
      <c r="B300" s="73" t="s">
        <v>172</v>
      </c>
      <c r="C300" s="73"/>
    </row>
    <row r="301" spans="2:3" ht="15" hidden="1" x14ac:dyDescent="0.25">
      <c r="B301" s="73" t="s">
        <v>173</v>
      </c>
      <c r="C301" s="73"/>
    </row>
    <row r="302" spans="2:3" ht="15" hidden="1" x14ac:dyDescent="0.25">
      <c r="B302" s="74" t="s">
        <v>174</v>
      </c>
      <c r="C302" s="74"/>
    </row>
    <row r="303" spans="2:3" ht="15" hidden="1" x14ac:dyDescent="0.25">
      <c r="B303" s="74" t="s">
        <v>175</v>
      </c>
      <c r="C303" s="74"/>
    </row>
    <row r="304" spans="2:3" ht="15" hidden="1" x14ac:dyDescent="0.25">
      <c r="B304" s="74" t="s">
        <v>176</v>
      </c>
      <c r="C304" s="74"/>
    </row>
    <row r="305" spans="2:3" ht="15" hidden="1" x14ac:dyDescent="0.25">
      <c r="B305" s="74" t="s">
        <v>177</v>
      </c>
      <c r="C305" s="74"/>
    </row>
    <row r="306" spans="2:3" ht="15" hidden="1" x14ac:dyDescent="0.25">
      <c r="B306" s="74" t="s">
        <v>178</v>
      </c>
      <c r="C306" s="74"/>
    </row>
    <row r="307" spans="2:3" ht="15" hidden="1" x14ac:dyDescent="0.25">
      <c r="B307" s="74" t="s">
        <v>179</v>
      </c>
      <c r="C307" s="74"/>
    </row>
    <row r="308" spans="2:3" ht="15" hidden="1" x14ac:dyDescent="0.25">
      <c r="B308" s="74" t="s">
        <v>180</v>
      </c>
      <c r="C308" s="74"/>
    </row>
    <row r="309" spans="2:3" ht="15" hidden="1" x14ac:dyDescent="0.25">
      <c r="B309" s="73" t="s">
        <v>181</v>
      </c>
      <c r="C309" s="73"/>
    </row>
    <row r="310" spans="2:3" ht="15" hidden="1" x14ac:dyDescent="0.25">
      <c r="B310" s="73" t="s">
        <v>182</v>
      </c>
      <c r="C310" s="73"/>
    </row>
    <row r="311" spans="2:3" ht="15" hidden="1" x14ac:dyDescent="0.25"/>
    <row r="312" spans="2:3" ht="15" hidden="1" x14ac:dyDescent="0.25">
      <c r="B312" s="75" t="s">
        <v>185</v>
      </c>
      <c r="C312" s="75"/>
    </row>
    <row r="313" spans="2:3" ht="15" hidden="1" x14ac:dyDescent="0.25">
      <c r="B313" s="76" t="s">
        <v>184</v>
      </c>
      <c r="C313" s="76"/>
    </row>
    <row r="314" spans="2:3" ht="15" hidden="1" x14ac:dyDescent="0.25">
      <c r="B314" s="76">
        <v>2</v>
      </c>
      <c r="C314" s="76"/>
    </row>
    <row r="315" spans="2:3" ht="15" hidden="1" x14ac:dyDescent="0.25">
      <c r="B315" s="76">
        <v>3</v>
      </c>
      <c r="C315" s="76"/>
    </row>
    <row r="316" spans="2:3" ht="15" hidden="1" x14ac:dyDescent="0.25">
      <c r="B316" s="76">
        <v>4</v>
      </c>
      <c r="C316" s="76"/>
    </row>
    <row r="317" spans="2:3" ht="15" hidden="1" x14ac:dyDescent="0.25">
      <c r="B317" s="6" t="s">
        <v>186</v>
      </c>
    </row>
    <row r="318" spans="2:3" ht="15" hidden="1" x14ac:dyDescent="0.25"/>
    <row r="319" spans="2:3" ht="15" hidden="1" x14ac:dyDescent="0.25">
      <c r="B319" s="77" t="s">
        <v>196</v>
      </c>
      <c r="C319" s="77"/>
    </row>
    <row r="320" spans="2:3" ht="15" hidden="1" x14ac:dyDescent="0.25">
      <c r="B320" s="78" t="s">
        <v>187</v>
      </c>
      <c r="C320" s="78"/>
    </row>
    <row r="321" spans="2:3" ht="15" hidden="1" x14ac:dyDescent="0.25">
      <c r="B321" s="78" t="s">
        <v>188</v>
      </c>
      <c r="C321" s="78"/>
    </row>
    <row r="322" spans="2:3" ht="15" hidden="1" x14ac:dyDescent="0.25">
      <c r="B322" s="78" t="s">
        <v>345</v>
      </c>
      <c r="C322" s="78"/>
    </row>
    <row r="323" spans="2:3" ht="15" hidden="1" x14ac:dyDescent="0.25">
      <c r="B323" s="78" t="s">
        <v>346</v>
      </c>
      <c r="C323" s="78"/>
    </row>
    <row r="324" spans="2:3" ht="15" hidden="1" x14ac:dyDescent="0.25">
      <c r="B324" s="78" t="s">
        <v>189</v>
      </c>
      <c r="C324" s="78"/>
    </row>
    <row r="325" spans="2:3" ht="15" hidden="1" x14ac:dyDescent="0.25">
      <c r="B325" s="78" t="s">
        <v>347</v>
      </c>
      <c r="C325" s="78"/>
    </row>
    <row r="326" spans="2:3" ht="15" hidden="1" x14ac:dyDescent="0.25">
      <c r="B326" s="78" t="s">
        <v>348</v>
      </c>
      <c r="C326" s="78"/>
    </row>
    <row r="327" spans="2:3" ht="15" hidden="1" x14ac:dyDescent="0.25">
      <c r="B327" s="78" t="s">
        <v>190</v>
      </c>
      <c r="C327" s="78"/>
    </row>
    <row r="328" spans="2:3" ht="15" hidden="1" x14ac:dyDescent="0.25">
      <c r="B328" s="78" t="s">
        <v>349</v>
      </c>
      <c r="C328" s="78"/>
    </row>
    <row r="329" spans="2:3" ht="15" hidden="1" x14ac:dyDescent="0.25">
      <c r="B329" s="78" t="s">
        <v>191</v>
      </c>
      <c r="C329" s="78"/>
    </row>
    <row r="330" spans="2:3" ht="15" hidden="1" x14ac:dyDescent="0.25">
      <c r="B330" s="78" t="s">
        <v>350</v>
      </c>
      <c r="C330" s="78"/>
    </row>
    <row r="331" spans="2:3" ht="15" hidden="1" x14ac:dyDescent="0.25">
      <c r="B331" s="78" t="s">
        <v>192</v>
      </c>
      <c r="C331" s="78"/>
    </row>
    <row r="332" spans="2:3" ht="15" hidden="1" x14ac:dyDescent="0.25">
      <c r="B332" s="78" t="s">
        <v>193</v>
      </c>
      <c r="C332" s="78"/>
    </row>
    <row r="333" spans="2:3" ht="15" hidden="1" x14ac:dyDescent="0.25">
      <c r="B333" s="78" t="s">
        <v>351</v>
      </c>
      <c r="C333" s="78"/>
    </row>
    <row r="334" spans="2:3" ht="15" hidden="1" x14ac:dyDescent="0.25">
      <c r="B334" s="78" t="s">
        <v>352</v>
      </c>
      <c r="C334" s="78"/>
    </row>
    <row r="335" spans="2:3" ht="15" hidden="1" x14ac:dyDescent="0.25">
      <c r="B335" s="78" t="s">
        <v>194</v>
      </c>
      <c r="C335" s="78"/>
    </row>
    <row r="336" spans="2:3" ht="15" hidden="1" x14ac:dyDescent="0.25">
      <c r="B336" s="78" t="s">
        <v>195</v>
      </c>
      <c r="C336" s="78"/>
    </row>
    <row r="337" spans="2:3" ht="15" hidden="1" x14ac:dyDescent="0.25">
      <c r="B337" s="78"/>
      <c r="C337" s="78"/>
    </row>
    <row r="338" spans="2:3" ht="15" hidden="1" x14ac:dyDescent="0.25"/>
    <row r="339" spans="2:3" ht="15" hidden="1" x14ac:dyDescent="0.25">
      <c r="B339" s="75" t="s">
        <v>252</v>
      </c>
      <c r="C339" s="75"/>
    </row>
    <row r="340" spans="2:3" ht="15" hidden="1" x14ac:dyDescent="0.25">
      <c r="B340" s="79" t="s">
        <v>197</v>
      </c>
      <c r="C340" s="79"/>
    </row>
    <row r="341" spans="2:3" ht="15" hidden="1" x14ac:dyDescent="0.25">
      <c r="B341" s="79" t="s">
        <v>198</v>
      </c>
      <c r="C341" s="79"/>
    </row>
    <row r="342" spans="2:3" ht="15" hidden="1" x14ac:dyDescent="0.25">
      <c r="B342" s="79" t="s">
        <v>199</v>
      </c>
      <c r="C342" s="79"/>
    </row>
    <row r="343" spans="2:3" ht="15" hidden="1" x14ac:dyDescent="0.25">
      <c r="B343" s="79" t="s">
        <v>200</v>
      </c>
      <c r="C343" s="79"/>
    </row>
    <row r="344" spans="2:3" ht="15" hidden="1" x14ac:dyDescent="0.25">
      <c r="B344" s="79" t="s">
        <v>201</v>
      </c>
      <c r="C344" s="79"/>
    </row>
    <row r="345" spans="2:3" ht="15" hidden="1" x14ac:dyDescent="0.25">
      <c r="B345" s="79" t="s">
        <v>202</v>
      </c>
      <c r="C345" s="79"/>
    </row>
    <row r="346" spans="2:3" ht="15" hidden="1" x14ac:dyDescent="0.25">
      <c r="B346" s="79" t="s">
        <v>203</v>
      </c>
      <c r="C346" s="79"/>
    </row>
    <row r="347" spans="2:3" ht="15" hidden="1" x14ac:dyDescent="0.25">
      <c r="B347" s="79" t="s">
        <v>204</v>
      </c>
      <c r="C347" s="79"/>
    </row>
    <row r="348" spans="2:3" ht="15" hidden="1" x14ac:dyDescent="0.25">
      <c r="B348" s="79" t="s">
        <v>205</v>
      </c>
      <c r="C348" s="79"/>
    </row>
    <row r="349" spans="2:3" ht="15" hidden="1" x14ac:dyDescent="0.25">
      <c r="B349" s="79" t="s">
        <v>206</v>
      </c>
      <c r="C349" s="79"/>
    </row>
    <row r="350" spans="2:3" ht="15" hidden="1" x14ac:dyDescent="0.25">
      <c r="B350" s="79" t="s">
        <v>207</v>
      </c>
      <c r="C350" s="79"/>
    </row>
    <row r="351" spans="2:3" ht="15" hidden="1" x14ac:dyDescent="0.25">
      <c r="B351" s="79" t="s">
        <v>208</v>
      </c>
      <c r="C351" s="79"/>
    </row>
    <row r="352" spans="2:3" ht="15" hidden="1" x14ac:dyDescent="0.25">
      <c r="B352" s="79" t="s">
        <v>209</v>
      </c>
      <c r="C352" s="79"/>
    </row>
    <row r="353" spans="2:3" ht="15" hidden="1" x14ac:dyDescent="0.25">
      <c r="B353" s="79" t="s">
        <v>210</v>
      </c>
      <c r="C353" s="79"/>
    </row>
    <row r="354" spans="2:3" ht="15" hidden="1" x14ac:dyDescent="0.25">
      <c r="B354" s="79" t="s">
        <v>211</v>
      </c>
      <c r="C354" s="79"/>
    </row>
    <row r="355" spans="2:3" ht="15" hidden="1" x14ac:dyDescent="0.25">
      <c r="B355" s="79" t="s">
        <v>212</v>
      </c>
      <c r="C355" s="79"/>
    </row>
    <row r="356" spans="2:3" ht="15" hidden="1" x14ac:dyDescent="0.25">
      <c r="B356" s="79" t="s">
        <v>213</v>
      </c>
      <c r="C356" s="79"/>
    </row>
    <row r="357" spans="2:3" ht="15" hidden="1" x14ac:dyDescent="0.25">
      <c r="B357" s="79" t="s">
        <v>214</v>
      </c>
      <c r="C357" s="79"/>
    </row>
    <row r="358" spans="2:3" ht="15" hidden="1" x14ac:dyDescent="0.25">
      <c r="B358" s="79" t="s">
        <v>215</v>
      </c>
      <c r="C358" s="79"/>
    </row>
    <row r="359" spans="2:3" ht="15" hidden="1" x14ac:dyDescent="0.25">
      <c r="B359" s="79" t="s">
        <v>216</v>
      </c>
      <c r="C359" s="79"/>
    </row>
    <row r="360" spans="2:3" ht="15" hidden="1" x14ac:dyDescent="0.25">
      <c r="B360" s="79" t="s">
        <v>217</v>
      </c>
      <c r="C360" s="79"/>
    </row>
    <row r="361" spans="2:3" ht="15" hidden="1" x14ac:dyDescent="0.25">
      <c r="B361" s="79" t="s">
        <v>218</v>
      </c>
      <c r="C361" s="79"/>
    </row>
    <row r="362" spans="2:3" ht="15" hidden="1" x14ac:dyDescent="0.25">
      <c r="B362" s="79" t="s">
        <v>219</v>
      </c>
      <c r="C362" s="79"/>
    </row>
    <row r="363" spans="2:3" ht="15" hidden="1" x14ac:dyDescent="0.25">
      <c r="B363" s="79" t="s">
        <v>220</v>
      </c>
      <c r="C363" s="79"/>
    </row>
    <row r="364" spans="2:3" ht="15" hidden="1" x14ac:dyDescent="0.25">
      <c r="B364" s="79" t="s">
        <v>221</v>
      </c>
      <c r="C364" s="79"/>
    </row>
    <row r="365" spans="2:3" ht="15" hidden="1" x14ac:dyDescent="0.25">
      <c r="B365" s="79" t="s">
        <v>222</v>
      </c>
      <c r="C365" s="79"/>
    </row>
    <row r="366" spans="2:3" ht="15" hidden="1" x14ac:dyDescent="0.25">
      <c r="B366" s="79" t="s">
        <v>223</v>
      </c>
      <c r="C366" s="79"/>
    </row>
    <row r="367" spans="2:3" ht="15" hidden="1" x14ac:dyDescent="0.25">
      <c r="B367" s="79" t="s">
        <v>224</v>
      </c>
      <c r="C367" s="79"/>
    </row>
    <row r="368" spans="2:3" ht="15" hidden="1" x14ac:dyDescent="0.25">
      <c r="B368" s="79" t="s">
        <v>225</v>
      </c>
      <c r="C368" s="79"/>
    </row>
    <row r="369" spans="2:3" ht="15" hidden="1" x14ac:dyDescent="0.25">
      <c r="B369" s="79" t="s">
        <v>226</v>
      </c>
      <c r="C369" s="79"/>
    </row>
    <row r="370" spans="2:3" ht="15" hidden="1" x14ac:dyDescent="0.25">
      <c r="B370" s="79" t="s">
        <v>227</v>
      </c>
      <c r="C370" s="79"/>
    </row>
    <row r="371" spans="2:3" ht="15" hidden="1" x14ac:dyDescent="0.25">
      <c r="B371" s="79" t="s">
        <v>228</v>
      </c>
      <c r="C371" s="79"/>
    </row>
    <row r="372" spans="2:3" ht="15" hidden="1" x14ac:dyDescent="0.25">
      <c r="B372" s="79" t="s">
        <v>229</v>
      </c>
      <c r="C372" s="79"/>
    </row>
    <row r="373" spans="2:3" ht="15" hidden="1" x14ac:dyDescent="0.25">
      <c r="B373" s="79" t="s">
        <v>230</v>
      </c>
      <c r="C373" s="79"/>
    </row>
    <row r="374" spans="2:3" ht="15" hidden="1" x14ac:dyDescent="0.25">
      <c r="B374" s="79" t="s">
        <v>231</v>
      </c>
      <c r="C374" s="79"/>
    </row>
    <row r="375" spans="2:3" ht="15" hidden="1" x14ac:dyDescent="0.25">
      <c r="B375" s="79" t="s">
        <v>232</v>
      </c>
      <c r="C375" s="79"/>
    </row>
    <row r="376" spans="2:3" ht="15" hidden="1" x14ac:dyDescent="0.25">
      <c r="B376" s="79" t="s">
        <v>233</v>
      </c>
      <c r="C376" s="79"/>
    </row>
    <row r="377" spans="2:3" ht="15" hidden="1" x14ac:dyDescent="0.25">
      <c r="B377" s="79" t="s">
        <v>234</v>
      </c>
      <c r="C377" s="79"/>
    </row>
    <row r="378" spans="2:3" ht="15" hidden="1" x14ac:dyDescent="0.25">
      <c r="B378" s="79" t="s">
        <v>235</v>
      </c>
      <c r="C378" s="79"/>
    </row>
    <row r="379" spans="2:3" ht="15" hidden="1" x14ac:dyDescent="0.25">
      <c r="B379" s="79" t="s">
        <v>236</v>
      </c>
      <c r="C379" s="79"/>
    </row>
    <row r="380" spans="2:3" ht="15" hidden="1" x14ac:dyDescent="0.25">
      <c r="B380" s="79" t="s">
        <v>237</v>
      </c>
      <c r="C380" s="79"/>
    </row>
    <row r="381" spans="2:3" ht="15" hidden="1" x14ac:dyDescent="0.25">
      <c r="B381" s="79" t="s">
        <v>238</v>
      </c>
      <c r="C381" s="79"/>
    </row>
    <row r="382" spans="2:3" ht="15" hidden="1" x14ac:dyDescent="0.25">
      <c r="B382" s="79" t="s">
        <v>158</v>
      </c>
      <c r="C382" s="79"/>
    </row>
    <row r="383" spans="2:3" ht="15" hidden="1" x14ac:dyDescent="0.25">
      <c r="B383" s="79" t="s">
        <v>239</v>
      </c>
      <c r="C383" s="79"/>
    </row>
    <row r="384" spans="2:3" ht="15" hidden="1" x14ac:dyDescent="0.25">
      <c r="B384" s="79" t="s">
        <v>240</v>
      </c>
      <c r="C384" s="79"/>
    </row>
    <row r="385" spans="2:3" ht="15" hidden="1" x14ac:dyDescent="0.25">
      <c r="B385" s="79" t="s">
        <v>241</v>
      </c>
      <c r="C385" s="79"/>
    </row>
    <row r="386" spans="2:3" ht="15" hidden="1" x14ac:dyDescent="0.25">
      <c r="B386" s="79" t="s">
        <v>242</v>
      </c>
      <c r="C386" s="79"/>
    </row>
    <row r="387" spans="2:3" ht="15" hidden="1" x14ac:dyDescent="0.25">
      <c r="B387" s="79" t="s">
        <v>243</v>
      </c>
      <c r="C387" s="79"/>
    </row>
    <row r="388" spans="2:3" ht="15" hidden="1" x14ac:dyDescent="0.25">
      <c r="B388" s="79" t="s">
        <v>244</v>
      </c>
      <c r="C388" s="79"/>
    </row>
    <row r="389" spans="2:3" ht="15" hidden="1" x14ac:dyDescent="0.25">
      <c r="B389" s="79" t="s">
        <v>245</v>
      </c>
      <c r="C389" s="79"/>
    </row>
    <row r="390" spans="2:3" ht="15" hidden="1" x14ac:dyDescent="0.25">
      <c r="B390" s="79" t="s">
        <v>246</v>
      </c>
      <c r="C390" s="79"/>
    </row>
    <row r="391" spans="2:3" ht="15" hidden="1" x14ac:dyDescent="0.25">
      <c r="B391" s="79" t="s">
        <v>247</v>
      </c>
      <c r="C391" s="79"/>
    </row>
    <row r="392" spans="2:3" ht="15" hidden="1" x14ac:dyDescent="0.25">
      <c r="B392" s="79" t="s">
        <v>248</v>
      </c>
      <c r="C392" s="79"/>
    </row>
    <row r="393" spans="2:3" ht="15" hidden="1" x14ac:dyDescent="0.25">
      <c r="B393" s="79" t="s">
        <v>249</v>
      </c>
      <c r="C393" s="79"/>
    </row>
    <row r="394" spans="2:3" ht="15" hidden="1" x14ac:dyDescent="0.25">
      <c r="B394" s="79" t="s">
        <v>250</v>
      </c>
      <c r="C394" s="79"/>
    </row>
    <row r="395" spans="2:3" ht="15" hidden="1" x14ac:dyDescent="0.25">
      <c r="B395" s="79" t="s">
        <v>251</v>
      </c>
      <c r="C395" s="79"/>
    </row>
    <row r="396" spans="2:3" ht="15" hidden="1" x14ac:dyDescent="0.25"/>
    <row r="397" spans="2:3" ht="15" hidden="1" x14ac:dyDescent="0.25">
      <c r="B397" s="77" t="s">
        <v>255</v>
      </c>
      <c r="C397" s="77"/>
    </row>
    <row r="398" spans="2:3" ht="15" hidden="1" x14ac:dyDescent="0.25">
      <c r="B398" s="79" t="s">
        <v>253</v>
      </c>
      <c r="C398" s="79"/>
    </row>
    <row r="399" spans="2:3" ht="15" hidden="1" x14ac:dyDescent="0.25">
      <c r="B399" s="79" t="s">
        <v>254</v>
      </c>
      <c r="C399" s="79"/>
    </row>
    <row r="400" spans="2:3" ht="15" hidden="1" x14ac:dyDescent="0.25"/>
    <row r="401" spans="2:3" ht="15" hidden="1" x14ac:dyDescent="0.25">
      <c r="B401" s="77" t="s">
        <v>269</v>
      </c>
      <c r="C401" s="77"/>
    </row>
    <row r="402" spans="2:3" ht="15" hidden="1" x14ac:dyDescent="0.25">
      <c r="B402" s="80" t="s">
        <v>256</v>
      </c>
      <c r="C402" s="80"/>
    </row>
    <row r="403" spans="2:3" ht="15" hidden="1" x14ac:dyDescent="0.25">
      <c r="B403" s="80" t="s">
        <v>257</v>
      </c>
      <c r="C403" s="80"/>
    </row>
    <row r="404" spans="2:3" ht="15" hidden="1" x14ac:dyDescent="0.25">
      <c r="B404" s="80" t="s">
        <v>258</v>
      </c>
      <c r="C404" s="80"/>
    </row>
    <row r="405" spans="2:3" ht="15" hidden="1" x14ac:dyDescent="0.25">
      <c r="B405" s="80" t="s">
        <v>259</v>
      </c>
      <c r="C405" s="80"/>
    </row>
    <row r="406" spans="2:3" ht="15" hidden="1" x14ac:dyDescent="0.25">
      <c r="B406" s="80" t="s">
        <v>162</v>
      </c>
      <c r="C406" s="80"/>
    </row>
    <row r="407" spans="2:3" ht="15" hidden="1" x14ac:dyDescent="0.25">
      <c r="B407" s="80" t="s">
        <v>260</v>
      </c>
      <c r="C407" s="80"/>
    </row>
    <row r="408" spans="2:3" ht="15" hidden="1" x14ac:dyDescent="0.25">
      <c r="B408" s="80" t="s">
        <v>167</v>
      </c>
      <c r="C408" s="80"/>
    </row>
    <row r="409" spans="2:3" ht="15" hidden="1" x14ac:dyDescent="0.25">
      <c r="B409" s="80" t="s">
        <v>261</v>
      </c>
      <c r="C409" s="80"/>
    </row>
    <row r="410" spans="2:3" ht="15" hidden="1" x14ac:dyDescent="0.25">
      <c r="B410" s="80" t="s">
        <v>262</v>
      </c>
      <c r="C410" s="80"/>
    </row>
    <row r="411" spans="2:3" ht="15" hidden="1" x14ac:dyDescent="0.25">
      <c r="B411" s="80" t="s">
        <v>263</v>
      </c>
      <c r="C411" s="80"/>
    </row>
    <row r="412" spans="2:3" ht="15" hidden="1" x14ac:dyDescent="0.25">
      <c r="B412" s="80" t="s">
        <v>264</v>
      </c>
      <c r="C412" s="80"/>
    </row>
    <row r="413" spans="2:3" ht="15" hidden="1" x14ac:dyDescent="0.25">
      <c r="B413" s="80" t="s">
        <v>265</v>
      </c>
      <c r="C413" s="80"/>
    </row>
    <row r="414" spans="2:3" ht="15" hidden="1" x14ac:dyDescent="0.25">
      <c r="B414" s="80" t="s">
        <v>266</v>
      </c>
      <c r="C414" s="80"/>
    </row>
    <row r="415" spans="2:3" ht="15" hidden="1" x14ac:dyDescent="0.25">
      <c r="B415" s="80" t="s">
        <v>267</v>
      </c>
      <c r="C415" s="80"/>
    </row>
    <row r="416" spans="2:3" ht="15" hidden="1" x14ac:dyDescent="0.25">
      <c r="B416" s="80" t="s">
        <v>268</v>
      </c>
      <c r="C416" s="80"/>
    </row>
    <row r="417" spans="2:3" ht="15" hidden="1" x14ac:dyDescent="0.25"/>
    <row r="418" spans="2:3" ht="15" hidden="1" x14ac:dyDescent="0.25">
      <c r="B418" s="77" t="s">
        <v>289</v>
      </c>
      <c r="C418" s="77"/>
    </row>
    <row r="419" spans="2:3" ht="15" hidden="1" x14ac:dyDescent="0.25">
      <c r="B419" s="79" t="s">
        <v>270</v>
      </c>
      <c r="C419" s="79"/>
    </row>
    <row r="420" spans="2:3" ht="15" hidden="1" x14ac:dyDescent="0.25">
      <c r="B420" s="81" t="s">
        <v>271</v>
      </c>
      <c r="C420" s="81"/>
    </row>
    <row r="421" spans="2:3" ht="15" hidden="1" x14ac:dyDescent="0.25">
      <c r="B421" s="81" t="s">
        <v>272</v>
      </c>
      <c r="C421" s="81"/>
    </row>
    <row r="422" spans="2:3" ht="15" hidden="1" x14ac:dyDescent="0.25">
      <c r="B422" s="81" t="s">
        <v>273</v>
      </c>
      <c r="C422" s="81"/>
    </row>
    <row r="423" spans="2:3" ht="15" hidden="1" x14ac:dyDescent="0.25">
      <c r="B423" s="81" t="s">
        <v>274</v>
      </c>
      <c r="C423" s="81"/>
    </row>
    <row r="424" spans="2:3" ht="15" hidden="1" x14ac:dyDescent="0.25">
      <c r="B424" s="79" t="s">
        <v>275</v>
      </c>
      <c r="C424" s="79"/>
    </row>
    <row r="425" spans="2:3" ht="15" hidden="1" x14ac:dyDescent="0.25">
      <c r="B425" s="81" t="s">
        <v>276</v>
      </c>
      <c r="C425" s="81"/>
    </row>
    <row r="426" spans="2:3" ht="15" hidden="1" x14ac:dyDescent="0.25">
      <c r="B426" s="81" t="s">
        <v>277</v>
      </c>
      <c r="C426" s="81"/>
    </row>
    <row r="427" spans="2:3" ht="15" hidden="1" x14ac:dyDescent="0.25">
      <c r="B427" s="81" t="s">
        <v>278</v>
      </c>
      <c r="C427" s="81"/>
    </row>
    <row r="428" spans="2:3" ht="15" hidden="1" x14ac:dyDescent="0.25">
      <c r="B428" s="81" t="s">
        <v>279</v>
      </c>
      <c r="C428" s="81"/>
    </row>
    <row r="429" spans="2:3" ht="15" hidden="1" x14ac:dyDescent="0.25">
      <c r="B429" s="81" t="s">
        <v>280</v>
      </c>
      <c r="C429" s="81"/>
    </row>
    <row r="430" spans="2:3" ht="15" hidden="1" x14ac:dyDescent="0.25">
      <c r="B430" s="81" t="s">
        <v>281</v>
      </c>
      <c r="C430" s="81"/>
    </row>
    <row r="431" spans="2:3" ht="15" hidden="1" x14ac:dyDescent="0.25">
      <c r="B431" s="81" t="s">
        <v>282</v>
      </c>
      <c r="C431" s="81"/>
    </row>
    <row r="432" spans="2:3" ht="15" hidden="1" x14ac:dyDescent="0.25">
      <c r="B432" s="81" t="s">
        <v>283</v>
      </c>
      <c r="C432" s="81"/>
    </row>
    <row r="433" spans="2:3" ht="15" hidden="1" x14ac:dyDescent="0.25">
      <c r="B433" s="81" t="s">
        <v>284</v>
      </c>
      <c r="C433" s="81"/>
    </row>
    <row r="434" spans="2:3" ht="15" hidden="1" x14ac:dyDescent="0.25">
      <c r="B434" s="81" t="s">
        <v>285</v>
      </c>
      <c r="C434" s="81"/>
    </row>
    <row r="435" spans="2:3" ht="15" hidden="1" x14ac:dyDescent="0.25">
      <c r="B435" s="81" t="s">
        <v>286</v>
      </c>
      <c r="C435" s="81"/>
    </row>
    <row r="436" spans="2:3" ht="15" hidden="1" x14ac:dyDescent="0.25">
      <c r="B436" s="81" t="s">
        <v>287</v>
      </c>
      <c r="C436" s="81"/>
    </row>
    <row r="437" spans="2:3" ht="15" hidden="1" x14ac:dyDescent="0.25">
      <c r="B437" s="81" t="s">
        <v>288</v>
      </c>
      <c r="C437" s="81"/>
    </row>
    <row r="438" spans="2:3" ht="15" hidden="1" x14ac:dyDescent="0.25"/>
    <row r="439" spans="2:3" ht="15" hidden="1" x14ac:dyDescent="0.25">
      <c r="B439" s="77" t="s">
        <v>293</v>
      </c>
      <c r="C439" s="77"/>
    </row>
    <row r="440" spans="2:3" ht="15" hidden="1" x14ac:dyDescent="0.25">
      <c r="B440" s="82" t="s">
        <v>290</v>
      </c>
      <c r="C440" s="82"/>
    </row>
    <row r="441" spans="2:3" ht="15" hidden="1" x14ac:dyDescent="0.25">
      <c r="B441" s="82" t="s">
        <v>291</v>
      </c>
      <c r="C441" s="82"/>
    </row>
    <row r="442" spans="2:3" ht="15" hidden="1" x14ac:dyDescent="0.25">
      <c r="B442" s="82" t="s">
        <v>292</v>
      </c>
      <c r="C442" s="82"/>
    </row>
    <row r="443" spans="2:3" ht="15" hidden="1" x14ac:dyDescent="0.25"/>
    <row r="444" spans="2:3" ht="15" hidden="1" x14ac:dyDescent="0.25">
      <c r="B444" s="77" t="s">
        <v>296</v>
      </c>
      <c r="C444" s="77"/>
    </row>
    <row r="445" spans="2:3" ht="15" hidden="1" x14ac:dyDescent="0.25">
      <c r="B445" s="78" t="s">
        <v>294</v>
      </c>
      <c r="C445" s="78"/>
    </row>
    <row r="446" spans="2:3" ht="15" hidden="1" x14ac:dyDescent="0.25">
      <c r="B446" s="78" t="s">
        <v>295</v>
      </c>
      <c r="C446" s="78"/>
    </row>
    <row r="447" spans="2:3" ht="15" hidden="1" x14ac:dyDescent="0.25"/>
    <row r="448" spans="2:3" ht="15" hidden="1" x14ac:dyDescent="0.25">
      <c r="B448" s="72" t="s">
        <v>302</v>
      </c>
      <c r="C448" s="72"/>
    </row>
    <row r="449" spans="2:3" ht="15" hidden="1" x14ac:dyDescent="0.25">
      <c r="B449" s="78" t="s">
        <v>297</v>
      </c>
      <c r="C449" s="78"/>
    </row>
    <row r="450" spans="2:3" ht="15" hidden="1" x14ac:dyDescent="0.25">
      <c r="B450" s="78" t="s">
        <v>298</v>
      </c>
      <c r="C450" s="78"/>
    </row>
    <row r="451" spans="2:3" ht="15" hidden="1" x14ac:dyDescent="0.25">
      <c r="B451" s="78" t="s">
        <v>299</v>
      </c>
      <c r="C451" s="78"/>
    </row>
    <row r="452" spans="2:3" ht="15" hidden="1" x14ac:dyDescent="0.25">
      <c r="B452" s="78" t="s">
        <v>300</v>
      </c>
      <c r="C452" s="78"/>
    </row>
    <row r="453" spans="2:3" ht="15" hidden="1" x14ac:dyDescent="0.25">
      <c r="B453" s="78" t="s">
        <v>301</v>
      </c>
      <c r="C453" s="78"/>
    </row>
    <row r="454" spans="2:3" ht="15" hidden="1" x14ac:dyDescent="0.25"/>
    <row r="455" spans="2:3" ht="15" hidden="1" x14ac:dyDescent="0.25">
      <c r="B455" s="77" t="s">
        <v>315</v>
      </c>
      <c r="C455" s="77"/>
    </row>
    <row r="456" spans="2:3" ht="15" hidden="1" x14ac:dyDescent="0.25">
      <c r="B456" s="83" t="s">
        <v>303</v>
      </c>
      <c r="C456" s="83"/>
    </row>
    <row r="457" spans="2:3" ht="15" hidden="1" x14ac:dyDescent="0.25">
      <c r="B457" s="84" t="s">
        <v>371</v>
      </c>
      <c r="C457" s="83"/>
    </row>
    <row r="458" spans="2:3" ht="15" hidden="1" x14ac:dyDescent="0.25">
      <c r="B458" s="84" t="s">
        <v>372</v>
      </c>
      <c r="C458" s="83"/>
    </row>
    <row r="459" spans="2:3" ht="15" hidden="1" x14ac:dyDescent="0.25">
      <c r="B459" s="84" t="s">
        <v>373</v>
      </c>
      <c r="C459" s="83"/>
    </row>
    <row r="460" spans="2:3" ht="15" hidden="1" x14ac:dyDescent="0.25">
      <c r="B460" s="83" t="s">
        <v>304</v>
      </c>
      <c r="C460" s="83"/>
    </row>
    <row r="461" spans="2:3" ht="15" hidden="1" x14ac:dyDescent="0.25">
      <c r="B461" s="83" t="s">
        <v>305</v>
      </c>
      <c r="C461" s="83"/>
    </row>
    <row r="462" spans="2:3" ht="15" hidden="1" x14ac:dyDescent="0.25">
      <c r="B462" s="83" t="s">
        <v>306</v>
      </c>
      <c r="C462" s="83"/>
    </row>
    <row r="463" spans="2:3" ht="15" hidden="1" x14ac:dyDescent="0.25">
      <c r="B463" s="83" t="s">
        <v>307</v>
      </c>
      <c r="C463" s="83"/>
    </row>
    <row r="464" spans="2:3" ht="15" hidden="1" x14ac:dyDescent="0.25">
      <c r="B464" s="83" t="s">
        <v>308</v>
      </c>
      <c r="C464" s="83"/>
    </row>
    <row r="465" spans="2:3" ht="15" hidden="1" x14ac:dyDescent="0.25">
      <c r="B465" s="83" t="s">
        <v>309</v>
      </c>
      <c r="C465" s="83"/>
    </row>
    <row r="466" spans="2:3" ht="15" hidden="1" x14ac:dyDescent="0.25">
      <c r="B466" s="83" t="s">
        <v>318</v>
      </c>
      <c r="C466" s="83"/>
    </row>
    <row r="467" spans="2:3" ht="15" hidden="1" x14ac:dyDescent="0.25">
      <c r="B467" s="83" t="s">
        <v>317</v>
      </c>
      <c r="C467" s="83"/>
    </row>
    <row r="468" spans="2:3" ht="15" hidden="1" x14ac:dyDescent="0.25">
      <c r="B468" s="83" t="s">
        <v>316</v>
      </c>
      <c r="C468" s="83"/>
    </row>
    <row r="469" spans="2:3" ht="15" hidden="1" x14ac:dyDescent="0.25">
      <c r="B469" s="83" t="s">
        <v>319</v>
      </c>
      <c r="C469" s="83"/>
    </row>
    <row r="470" spans="2:3" ht="15" hidden="1" x14ac:dyDescent="0.25">
      <c r="B470" s="83" t="s">
        <v>310</v>
      </c>
      <c r="C470" s="83"/>
    </row>
    <row r="471" spans="2:3" ht="15" hidden="1" x14ac:dyDescent="0.25">
      <c r="B471" s="83" t="s">
        <v>311</v>
      </c>
      <c r="C471" s="83"/>
    </row>
    <row r="472" spans="2:3" ht="15" hidden="1" x14ac:dyDescent="0.25">
      <c r="B472" s="83" t="s">
        <v>312</v>
      </c>
      <c r="C472" s="83"/>
    </row>
    <row r="473" spans="2:3" ht="15" hidden="1" x14ac:dyDescent="0.25">
      <c r="B473" s="83" t="s">
        <v>313</v>
      </c>
      <c r="C473" s="83"/>
    </row>
    <row r="474" spans="2:3" ht="15" hidden="1" x14ac:dyDescent="0.25">
      <c r="B474" s="83" t="s">
        <v>314</v>
      </c>
      <c r="C474" s="83"/>
    </row>
    <row r="475" spans="2:3" ht="15" hidden="1" x14ac:dyDescent="0.25"/>
    <row r="476" spans="2:3" ht="15" hidden="1" x14ac:dyDescent="0.25">
      <c r="B476" s="85" t="s">
        <v>321</v>
      </c>
      <c r="C476" s="85"/>
    </row>
    <row r="477" spans="2:3" ht="15" hidden="1" x14ac:dyDescent="0.25"/>
    <row r="478" spans="2:3" ht="15" hidden="1" x14ac:dyDescent="0.25">
      <c r="B478" s="86" t="s">
        <v>322</v>
      </c>
      <c r="C478" s="86"/>
    </row>
    <row r="479" spans="2:3" ht="15" hidden="1" x14ac:dyDescent="0.25">
      <c r="B479" s="6" t="s">
        <v>323</v>
      </c>
    </row>
    <row r="480" spans="2:3" ht="15" hidden="1" x14ac:dyDescent="0.25">
      <c r="B480" s="6" t="s">
        <v>324</v>
      </c>
    </row>
    <row r="481" spans="2:2" ht="15" hidden="1" x14ac:dyDescent="0.25">
      <c r="B481" s="6" t="s">
        <v>325</v>
      </c>
    </row>
    <row r="482" spans="2:2" ht="15" hidden="1" x14ac:dyDescent="0.25"/>
    <row r="483" spans="2:2" ht="15" hidden="1" x14ac:dyDescent="0.25"/>
  </sheetData>
  <sheetProtection password="E027" sheet="1" objects="1" scenarios="1" selectLockedCells="1"/>
  <mergeCells count="15">
    <mergeCell ref="D13:F13"/>
    <mergeCell ref="F2:G2"/>
    <mergeCell ref="D4:H4"/>
    <mergeCell ref="D7:H7"/>
    <mergeCell ref="D9:F9"/>
    <mergeCell ref="D11:F11"/>
    <mergeCell ref="D122:H122"/>
    <mergeCell ref="D124:H124"/>
    <mergeCell ref="D126:H126"/>
    <mergeCell ref="D130:H130"/>
    <mergeCell ref="D15:F15"/>
    <mergeCell ref="D91:H91"/>
    <mergeCell ref="D92:H92"/>
    <mergeCell ref="D109:H109"/>
    <mergeCell ref="D110:H110"/>
  </mergeCells>
  <conditionalFormatting sqref="D126">
    <cfRule type="expression" dxfId="5" priority="7">
      <formula>LEN(D126)&gt;500</formula>
    </cfRule>
  </conditionalFormatting>
  <conditionalFormatting sqref="D128:E128">
    <cfRule type="expression" dxfId="4" priority="6">
      <formula>LEN(D128)&gt;500</formula>
    </cfRule>
  </conditionalFormatting>
  <conditionalFormatting sqref="D130">
    <cfRule type="expression" dxfId="3" priority="5">
      <formula>LEN(D130)&gt;500</formula>
    </cfRule>
  </conditionalFormatting>
  <conditionalFormatting sqref="D124">
    <cfRule type="expression" dxfId="2" priority="4">
      <formula>LEN(D124)&gt;500</formula>
    </cfRule>
  </conditionalFormatting>
  <conditionalFormatting sqref="D4 D17">
    <cfRule type="expression" dxfId="1" priority="3">
      <formula>LEN(D4)&gt;10000</formula>
    </cfRule>
  </conditionalFormatting>
  <conditionalFormatting sqref="D7">
    <cfRule type="expression" dxfId="0" priority="2">
      <formula>LEN(D7)&gt;10000</formula>
    </cfRule>
  </conditionalFormatting>
  <dataValidations count="14">
    <dataValidation type="list" allowBlank="1" showInputMessage="1" showErrorMessage="1" promptTitle="Index Title" prompt="Select the heading in the index under which this standard should reside" sqref="D9:F9">
      <formula1>Index</formula1>
    </dataValidation>
    <dataValidation allowBlank="1" showInputMessage="1" showErrorMessage="1" promptTitle="Suggested Index Title" prompt="Use this section if your standard does not fit in the existing index and you want to define a new heading for your standard.  Select an existing index heading above to indicate where your new heading should be inserted below." sqref="D11:F11"/>
    <dataValidation type="list" allowBlank="1" showInputMessage="1" showErrorMessage="1" sqref="G27 C49 C53 C55 C57 C59 C61 E53 E55 E57 E59 E61 G53 G55 G57 G59 G61 C63 C65 C67 C69 C71 E63 E65 E67 E69 E71 G63 G65 G67 G69 G71 C73 C75 C77 C79 C81 E73 E75 E77 E79 E81 G73 G75 G77 G79 G81 C83 C85 C87 C89 E83 E85 E87 E89 G83 G85 G87 C40 C42 E40 E42 G40 G42 C23 C27 C29 E27 E29 G89">
      <formula1>Checkbox</formula1>
    </dataValidation>
    <dataValidation allowBlank="1" showInputMessage="1" showErrorMessage="1" promptTitle="New Index Description" prompt="Use this input box if you want to suggest amendments to an existing title or if you have suggested a new title and need to provide an introductory description." sqref="D15"/>
    <dataValidation allowBlank="1" showInputMessage="1" showErrorMessage="1" promptTitle="Measure" prompt="Enter details here about how you would measure this standard in the business to ensure a hotel is compliant." sqref="D124"/>
    <dataValidation allowBlank="1" showInputMessage="1" showErrorMessage="1" promptTitle="Rational" prompt="Descriptive justification for the standard. May include summary of test results and ROI calculation.  Will be used as part of communications to implement the change." sqref="D7"/>
    <dataValidation allowBlank="1" showInputMessage="1" showErrorMessage="1" promptTitle="Impact Assessment" prompt="Field to describe the implication of implementing the proposed change on  Hotels and IHG.   Should include consideration of financial impact on hotels and may  incorporate owner feedback." sqref="D130"/>
    <dataValidation type="list" allowBlank="1" showInputMessage="1" showErrorMessage="1" promptTitle="New / Existing / Delete" prompt="Use this field to denote if this is a new standard, a change to an existing stanadard or a proposal to remove an existing standard._x000a_" sqref="D128">
      <formula1>EM_New_Amend_Delete</formula1>
    </dataValidation>
    <dataValidation allowBlank="1" showInputMessage="1" showErrorMessage="1" promptTitle="Comments" prompt="Please use this field to capture any information that you have not been able to store elsewhere_x000a_" sqref="D126"/>
    <dataValidation type="list" allowBlank="1" showInputMessage="1" showErrorMessage="1" sqref="D103 D95 F95 H95 F103 H103">
      <formula1>EM_IHG_Supporting_Link_Types</formula1>
    </dataValidation>
    <dataValidation allowBlank="1" showErrorMessage="1" sqref="F46:F47 F49:F51 E125 E127:E129 F132 F134:F136 F140 F142:F144 F20:F21 F23:F25 F33:F34"/>
    <dataValidation allowBlank="1" showInputMessage="1" showErrorMessage="1" promptTitle="Index Description" prompt="This field displays the descriptive text associated with your index title" sqref="D13"/>
    <dataValidation allowBlank="1" showInputMessage="1" showErrorMessage="1" promptTitle="Technical Writer" prompt="Standard writing expert who liaises with relevant Business Owner with responsiblity for drafting, editing and formatting standardsin line with the agreed writing principles." sqref="D17"/>
    <dataValidation type="whole" operator="greaterThan" allowBlank="1" showInputMessage="1" showErrorMessage="1" errorTitle="Wrong value" error="Please enter whole number greater then 0" promptTitle="Standard ID" sqref="F3">
      <formula1>0</formula1>
    </dataValidation>
  </dataValidations>
  <pageMargins left="0.23622047244094491" right="0.23622047244094491" top="0.74803149606299213" bottom="0.74803149606299213" header="0.31496062992125984" footer="0.31496062992125984"/>
  <pageSetup paperSize="9" scale="95" fitToHeight="0" orientation="landscape" horizontalDpi="1200" verticalDpi="1200" r:id="rId1"/>
  <headerFooter>
    <oddFooter>&amp;L&amp;A&amp;RPage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heet1.EM_Create_Specification">
                <anchor moveWithCells="1" sizeWithCells="1">
                  <from>
                    <xdr:col>5</xdr:col>
                    <xdr:colOff>137160</xdr:colOff>
                    <xdr:row>90</xdr:row>
                    <xdr:rowOff>0</xdr:rowOff>
                  </from>
                  <to>
                    <xdr:col>5</xdr:col>
                    <xdr:colOff>2316480</xdr:colOff>
                    <xdr:row>90</xdr:row>
                    <xdr:rowOff>0</xdr:rowOff>
                  </to>
                </anchor>
              </controlPr>
            </control>
          </mc:Choice>
        </mc:AlternateContent>
        <mc:AlternateContent xmlns:mc="http://schemas.openxmlformats.org/markup-compatibility/2006">
          <mc:Choice Requires="x14">
            <control shapeId="6146" r:id="rId5" name="Button 2">
              <controlPr defaultSize="0" print="0" autoFill="0" autoPict="0" macro="[0]!Sheet1.EM_Create_Guideline">
                <anchor moveWithCells="1" sizeWithCells="1">
                  <from>
                    <xdr:col>5</xdr:col>
                    <xdr:colOff>137160</xdr:colOff>
                    <xdr:row>90</xdr:row>
                    <xdr:rowOff>0</xdr:rowOff>
                  </from>
                  <to>
                    <xdr:col>5</xdr:col>
                    <xdr:colOff>2316480</xdr:colOff>
                    <xdr:row>90</xdr:row>
                    <xdr:rowOff>0</xdr:rowOff>
                  </to>
                </anchor>
              </controlPr>
            </control>
          </mc:Choice>
        </mc:AlternateContent>
        <mc:AlternateContent xmlns:mc="http://schemas.openxmlformats.org/markup-compatibility/2006">
          <mc:Choice Requires="x14">
            <control shapeId="6151" r:id="rId6" name="Button 7">
              <controlPr defaultSize="0" print="0" autoFill="0" autoPict="0" macro="[0]!CopyMAIToMD">
                <anchor moveWithCells="1" sizeWithCells="1">
                  <from>
                    <xdr:col>7</xdr:col>
                    <xdr:colOff>571500</xdr:colOff>
                    <xdr:row>1</xdr:row>
                    <xdr:rowOff>60960</xdr:rowOff>
                  </from>
                  <to>
                    <xdr:col>7</xdr:col>
                    <xdr:colOff>1935480</xdr:colOff>
                    <xdr:row>1</xdr:row>
                    <xdr:rowOff>335280</xdr:rowOff>
                  </to>
                </anchor>
              </controlPr>
            </control>
          </mc:Choice>
        </mc:AlternateContent>
        <mc:AlternateContent xmlns:mc="http://schemas.openxmlformats.org/markup-compatibility/2006">
          <mc:Choice Requires="x14">
            <control shapeId="6152" r:id="rId7" name="Button 8">
              <controlPr defaultSize="0" print="0" autoFill="0" autoPict="0" macro="[0]!Attribute_Load">
                <anchor moveWithCells="1" sizeWithCells="1">
                  <from>
                    <xdr:col>7</xdr:col>
                    <xdr:colOff>571500</xdr:colOff>
                    <xdr:row>1</xdr:row>
                    <xdr:rowOff>609600</xdr:rowOff>
                  </from>
                  <to>
                    <xdr:col>7</xdr:col>
                    <xdr:colOff>1935480</xdr:colOff>
                    <xdr:row>2</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5:BF495"/>
  <sheetViews>
    <sheetView topLeftCell="Y298" workbookViewId="0">
      <selection activeCell="AB309" sqref="A1:XFD1048576"/>
    </sheetView>
  </sheetViews>
  <sheetFormatPr defaultRowHeight="14.4" x14ac:dyDescent="0.3"/>
  <cols>
    <col min="2" max="2" width="8.88671875" style="150"/>
    <col min="4" max="4" width="14.88671875" customWidth="1"/>
    <col min="6" max="6" width="25.6640625" bestFit="1" customWidth="1"/>
    <col min="7" max="7" width="6.88671875" bestFit="1" customWidth="1"/>
    <col min="12" max="13" width="8.88671875" style="150"/>
    <col min="14" max="14" width="17.33203125" customWidth="1"/>
    <col min="15" max="15" width="8.88671875" style="150"/>
    <col min="16" max="16" width="28.33203125" style="150" bestFit="1" customWidth="1"/>
    <col min="17" max="17" width="12.5546875" bestFit="1" customWidth="1"/>
    <col min="18" max="18" width="36.33203125" bestFit="1" customWidth="1"/>
    <col min="19" max="19" width="25.6640625" bestFit="1" customWidth="1"/>
    <col min="20" max="20" width="25.6640625" customWidth="1"/>
    <col min="21" max="21" width="42.6640625" bestFit="1" customWidth="1"/>
    <col min="22" max="22" width="42.6640625" customWidth="1"/>
    <col min="23" max="23" width="2.44140625" customWidth="1"/>
    <col min="24" max="24" width="80.33203125" bestFit="1" customWidth="1"/>
    <col min="25" max="25" width="2.44140625" customWidth="1"/>
    <col min="26" max="26" width="80.33203125" bestFit="1" customWidth="1"/>
    <col min="27" max="27" width="2.44140625" customWidth="1"/>
    <col min="28" max="28" width="80.33203125" bestFit="1" customWidth="1"/>
    <col min="29" max="29" width="2.44140625" customWidth="1"/>
    <col min="30" max="30" width="80.33203125" bestFit="1" customWidth="1"/>
  </cols>
  <sheetData>
    <row r="5" spans="1:58" ht="15" x14ac:dyDescent="0.25">
      <c r="F5" s="159" t="s">
        <v>425</v>
      </c>
      <c r="N5" s="159" t="s">
        <v>426</v>
      </c>
    </row>
    <row r="7" spans="1:58" ht="15" x14ac:dyDescent="0.25">
      <c r="A7" s="154" t="s">
        <v>418</v>
      </c>
      <c r="B7" s="154" t="s">
        <v>419</v>
      </c>
      <c r="C7" s="155"/>
      <c r="D7" s="156" t="s">
        <v>416</v>
      </c>
      <c r="E7" s="157" t="s">
        <v>420</v>
      </c>
      <c r="F7" s="158" t="s">
        <v>414</v>
      </c>
      <c r="G7" s="156" t="s">
        <v>417</v>
      </c>
      <c r="H7" s="156" t="s">
        <v>421</v>
      </c>
      <c r="I7" s="157" t="s">
        <v>422</v>
      </c>
      <c r="J7" s="157" t="s">
        <v>446</v>
      </c>
      <c r="K7" s="157" t="s">
        <v>431</v>
      </c>
      <c r="L7" s="154" t="s">
        <v>423</v>
      </c>
      <c r="M7" s="154" t="s">
        <v>435</v>
      </c>
      <c r="N7" s="157" t="s">
        <v>424</v>
      </c>
      <c r="O7" s="154" t="s">
        <v>427</v>
      </c>
      <c r="P7" s="154" t="s">
        <v>429</v>
      </c>
      <c r="Q7" s="157" t="s">
        <v>433</v>
      </c>
      <c r="R7" s="160" t="s">
        <v>430</v>
      </c>
      <c r="S7" s="154" t="s">
        <v>432</v>
      </c>
      <c r="T7" s="154" t="s">
        <v>447</v>
      </c>
      <c r="U7" s="160" t="s">
        <v>434</v>
      </c>
      <c r="V7" s="160" t="s">
        <v>449</v>
      </c>
      <c r="X7" s="161" t="s">
        <v>436</v>
      </c>
      <c r="Z7" s="161" t="s">
        <v>437</v>
      </c>
      <c r="AB7" s="161" t="s">
        <v>450</v>
      </c>
      <c r="AD7" s="161" t="s">
        <v>451</v>
      </c>
    </row>
    <row r="8" spans="1:58" ht="15" x14ac:dyDescent="0.25">
      <c r="A8" s="150">
        <v>1</v>
      </c>
      <c r="B8" s="150" t="str">
        <f>ADDRESS(1, A8, 4)</f>
        <v>A1</v>
      </c>
      <c r="D8" t="s">
        <v>416</v>
      </c>
      <c r="E8" t="str">
        <f ca="1">INDIRECT("'Master Data'!" &amp; B8)</f>
        <v>Quality attributes</v>
      </c>
      <c r="F8" t="e">
        <f t="shared" ref="F8:F19" ca="1" si="0">SUBSTITUTE(INDIRECT("'Master Data'!" &amp; E8 &amp; 4)," ","_")</f>
        <v>#REF!</v>
      </c>
      <c r="G8" t="s">
        <v>417</v>
      </c>
      <c r="H8" t="s">
        <v>421</v>
      </c>
      <c r="I8" t="e">
        <f ca="1">SUBSTITUTE(INDIRECT("'Master Data'!" &amp; E8 &amp; 2),"$","")</f>
        <v>#REF!</v>
      </c>
      <c r="J8" t="e">
        <f ca="1">SUBSTITUTE(INDIRECT("'Master Data'!" &amp; E8 &amp; 3),"$","")</f>
        <v>#REF!</v>
      </c>
      <c r="K8" t="s">
        <v>431</v>
      </c>
      <c r="L8" s="150" t="s">
        <v>423</v>
      </c>
      <c r="M8" s="150" t="s">
        <v>435</v>
      </c>
      <c r="N8" t="e">
        <f ca="1">INDIRECT("'Master Data'!" &amp; E8 &amp; 3)</f>
        <v>#REF!</v>
      </c>
      <c r="O8" s="150" t="s">
        <v>412</v>
      </c>
      <c r="P8" s="150" t="s">
        <v>428</v>
      </c>
      <c r="Q8" s="150" t="s">
        <v>399</v>
      </c>
      <c r="R8" t="e">
        <f ca="1">CONCATENATE(P8,L8,I8,L8,Q8)</f>
        <v>#REF!</v>
      </c>
      <c r="S8" t="s">
        <v>398</v>
      </c>
      <c r="T8" t="s">
        <v>448</v>
      </c>
      <c r="U8" t="str">
        <f t="shared" ref="U8:U71" ca="1" si="1">CONCATENATE(S8,L8,E8,L8,M8,K8,Q8)</f>
        <v>Sheets("Master Data").Range("Quality attributes" &amp; RowNo).Value</v>
      </c>
      <c r="V8" t="e">
        <f ca="1">CONCATENATE(T8,L8,J8,L8,Q8)</f>
        <v>#REF!</v>
      </c>
      <c r="X8" t="e">
        <f t="shared" ref="X8:X71" ca="1" si="2">CONCATENATE(U8,O8,R8)</f>
        <v>#REF!</v>
      </c>
      <c r="Z8" t="e">
        <f t="shared" ref="Z8:Z71" ca="1" si="3">CONCATENATE(R8,O8,U8)</f>
        <v>#REF!</v>
      </c>
      <c r="AB8" s="172"/>
      <c r="AD8" s="172"/>
    </row>
    <row r="9" spans="1:58" ht="15" x14ac:dyDescent="0.25">
      <c r="A9" s="150">
        <v>2</v>
      </c>
      <c r="B9" s="150" t="str">
        <f t="shared" ref="B9:B72" si="4">ADDRESS(1, A9, 4)</f>
        <v>B1</v>
      </c>
      <c r="D9" t="s">
        <v>416</v>
      </c>
      <c r="E9" t="str">
        <f t="shared" ref="E9:E72" ca="1" si="5">INDIRECT("'Master Data'!" &amp; B9)</f>
        <v>B</v>
      </c>
      <c r="F9" t="str">
        <f t="shared" ca="1" si="0"/>
        <v/>
      </c>
      <c r="G9" t="s">
        <v>417</v>
      </c>
      <c r="H9" t="s">
        <v>421</v>
      </c>
      <c r="I9" t="str">
        <f t="shared" ref="I9:I72" ca="1" si="6">SUBSTITUTE(INDIRECT("'Master Data'!" &amp; E9 &amp; 2),"$","")</f>
        <v/>
      </c>
      <c r="J9" t="str">
        <f t="shared" ref="J9:J72" ca="1" si="7">SUBSTITUTE(INDIRECT("'Master Data'!" &amp; E9 &amp; 3),"$","")</f>
        <v>STD ID</v>
      </c>
      <c r="K9" t="s">
        <v>431</v>
      </c>
      <c r="L9" s="150" t="s">
        <v>423</v>
      </c>
      <c r="M9" s="150" t="s">
        <v>435</v>
      </c>
      <c r="N9" t="str">
        <f t="shared" ref="N9:N72" ca="1" si="8">INDIRECT("'Master Data'!" &amp; E9 &amp; 3)</f>
        <v>STD ID</v>
      </c>
      <c r="O9" s="150" t="s">
        <v>412</v>
      </c>
      <c r="P9" s="150" t="s">
        <v>428</v>
      </c>
      <c r="Q9" s="150" t="s">
        <v>399</v>
      </c>
      <c r="R9" t="str">
        <f t="shared" ref="R9:R72" ca="1" si="9">CONCATENATE(P9,L9,I9,L9,Q9)</f>
        <v>Sheets("Standards Input").Range("").Value</v>
      </c>
      <c r="S9" t="s">
        <v>398</v>
      </c>
      <c r="T9" t="s">
        <v>448</v>
      </c>
      <c r="U9" t="str">
        <f t="shared" ca="1" si="1"/>
        <v>Sheets("Master Data").Range("B" &amp; RowNo).Value</v>
      </c>
      <c r="V9" t="str">
        <f t="shared" ref="V9:V72" ca="1" si="10">CONCATENATE(T9,L9,J9,L9,Q9)</f>
        <v>Sheets("Multi Attributes Input").Range("STD ID").Value</v>
      </c>
      <c r="X9" t="str">
        <f t="shared" ca="1" si="2"/>
        <v>Sheets("Master Data").Range("B" &amp; RowNo).Value = Sheets("Standards Input").Range("").Value</v>
      </c>
      <c r="Z9" t="str">
        <f t="shared" ca="1" si="3"/>
        <v>Sheets("Standards Input").Range("").Value = Sheets("Master Data").Range("B" &amp; RowNo).Value</v>
      </c>
      <c r="AB9" s="172"/>
      <c r="AD9" s="172"/>
    </row>
    <row r="10" spans="1:58" ht="15" x14ac:dyDescent="0.25">
      <c r="A10" s="150">
        <v>3</v>
      </c>
      <c r="B10" s="150" t="str">
        <f t="shared" si="4"/>
        <v>C1</v>
      </c>
      <c r="D10" t="s">
        <v>416</v>
      </c>
      <c r="E10" t="str">
        <f t="shared" ca="1" si="5"/>
        <v>C</v>
      </c>
      <c r="F10" t="str">
        <f t="shared" ca="1" si="0"/>
        <v/>
      </c>
      <c r="G10" t="s">
        <v>417</v>
      </c>
      <c r="H10" t="s">
        <v>421</v>
      </c>
      <c r="I10" t="str">
        <f t="shared" ca="1" si="6"/>
        <v/>
      </c>
      <c r="J10" t="str">
        <f t="shared" ca="1" si="7"/>
        <v>Type</v>
      </c>
      <c r="K10" t="s">
        <v>431</v>
      </c>
      <c r="L10" s="150" t="s">
        <v>423</v>
      </c>
      <c r="M10" s="150" t="s">
        <v>435</v>
      </c>
      <c r="N10" t="str">
        <f t="shared" ca="1" si="8"/>
        <v>Type</v>
      </c>
      <c r="O10" s="150" t="s">
        <v>412</v>
      </c>
      <c r="P10" s="150" t="s">
        <v>428</v>
      </c>
      <c r="Q10" s="150" t="s">
        <v>399</v>
      </c>
      <c r="R10" t="str">
        <f t="shared" ca="1" si="9"/>
        <v>Sheets("Standards Input").Range("").Value</v>
      </c>
      <c r="S10" t="s">
        <v>398</v>
      </c>
      <c r="T10" t="s">
        <v>448</v>
      </c>
      <c r="U10" t="str">
        <f t="shared" ca="1" si="1"/>
        <v>Sheets("Master Data").Range("C" &amp; RowNo).Value</v>
      </c>
      <c r="V10" t="str">
        <f t="shared" ca="1" si="10"/>
        <v>Sheets("Multi Attributes Input").Range("Type").Value</v>
      </c>
      <c r="X10" t="str">
        <f t="shared" ca="1" si="2"/>
        <v>Sheets("Master Data").Range("C" &amp; RowNo).Value = Sheets("Standards Input").Range("").Value</v>
      </c>
      <c r="Z10" t="str">
        <f t="shared" ca="1" si="3"/>
        <v>Sheets("Standards Input").Range("").Value = Sheets("Master Data").Range("C" &amp; RowNo).Value</v>
      </c>
      <c r="AB10" s="172"/>
      <c r="AD10" s="172"/>
    </row>
    <row r="11" spans="1:58" ht="15" x14ac:dyDescent="0.25">
      <c r="A11" s="150">
        <v>4</v>
      </c>
      <c r="B11" s="150" t="str">
        <f t="shared" si="4"/>
        <v>D1</v>
      </c>
      <c r="D11" t="s">
        <v>416</v>
      </c>
      <c r="E11" t="str">
        <f t="shared" ca="1" si="5"/>
        <v>D</v>
      </c>
      <c r="F11" t="str">
        <f t="shared" ca="1" si="0"/>
        <v/>
      </c>
      <c r="G11" t="s">
        <v>417</v>
      </c>
      <c r="H11" t="s">
        <v>421</v>
      </c>
      <c r="I11" t="str">
        <f t="shared" ca="1" si="6"/>
        <v/>
      </c>
      <c r="J11" t="str">
        <f t="shared" ca="1" si="7"/>
        <v>Text</v>
      </c>
      <c r="K11" t="s">
        <v>431</v>
      </c>
      <c r="L11" s="150" t="s">
        <v>423</v>
      </c>
      <c r="M11" s="150" t="s">
        <v>435</v>
      </c>
      <c r="N11" t="str">
        <f t="shared" ca="1" si="8"/>
        <v>Text</v>
      </c>
      <c r="O11" s="150" t="s">
        <v>412</v>
      </c>
      <c r="P11" s="150" t="s">
        <v>428</v>
      </c>
      <c r="Q11" s="150" t="s">
        <v>399</v>
      </c>
      <c r="R11" t="str">
        <f t="shared" ca="1" si="9"/>
        <v>Sheets("Standards Input").Range("").Value</v>
      </c>
      <c r="S11" t="s">
        <v>398</v>
      </c>
      <c r="T11" t="s">
        <v>448</v>
      </c>
      <c r="U11" t="str">
        <f t="shared" ca="1" si="1"/>
        <v>Sheets("Master Data").Range("D" &amp; RowNo).Value</v>
      </c>
      <c r="V11" t="str">
        <f t="shared" ca="1" si="10"/>
        <v>Sheets("Multi Attributes Input").Range("Text").Value</v>
      </c>
      <c r="X11" t="str">
        <f t="shared" ca="1" si="2"/>
        <v>Sheets("Master Data").Range("D" &amp; RowNo).Value = Sheets("Standards Input").Range("").Value</v>
      </c>
      <c r="Z11" t="str">
        <f t="shared" ca="1" si="3"/>
        <v>Sheets("Standards Input").Range("").Value = Sheets("Master Data").Range("D" &amp; RowNo).Value</v>
      </c>
      <c r="AB11" s="172"/>
      <c r="AD11" s="172"/>
    </row>
    <row r="12" spans="1:58" ht="15" x14ac:dyDescent="0.25">
      <c r="A12" s="150">
        <v>5</v>
      </c>
      <c r="B12" s="150" t="str">
        <f t="shared" si="4"/>
        <v>E1</v>
      </c>
      <c r="D12" t="s">
        <v>416</v>
      </c>
      <c r="E12" t="str">
        <f t="shared" ca="1" si="5"/>
        <v>E</v>
      </c>
      <c r="F12" t="str">
        <f t="shared" ca="1" si="0"/>
        <v/>
      </c>
      <c r="G12" t="s">
        <v>417</v>
      </c>
      <c r="H12" t="s">
        <v>421</v>
      </c>
      <c r="I12" t="str">
        <f t="shared" ca="1" si="6"/>
        <v/>
      </c>
      <c r="J12" t="str">
        <f t="shared" ca="1" si="7"/>
        <v>Rationale</v>
      </c>
      <c r="K12" t="s">
        <v>431</v>
      </c>
      <c r="L12" s="150" t="s">
        <v>423</v>
      </c>
      <c r="M12" s="150" t="s">
        <v>435</v>
      </c>
      <c r="N12" t="str">
        <f t="shared" ca="1" si="8"/>
        <v>Rationale</v>
      </c>
      <c r="O12" s="150" t="s">
        <v>412</v>
      </c>
      <c r="P12" s="150" t="s">
        <v>428</v>
      </c>
      <c r="Q12" s="150" t="s">
        <v>399</v>
      </c>
      <c r="R12" t="str">
        <f t="shared" ca="1" si="9"/>
        <v>Sheets("Standards Input").Range("").Value</v>
      </c>
      <c r="S12" t="s">
        <v>398</v>
      </c>
      <c r="T12" t="s">
        <v>448</v>
      </c>
      <c r="U12" t="str">
        <f t="shared" ca="1" si="1"/>
        <v>Sheets("Master Data").Range("E" &amp; RowNo).Value</v>
      </c>
      <c r="V12" t="str">
        <f t="shared" ca="1" si="10"/>
        <v>Sheets("Multi Attributes Input").Range("Rationale").Value</v>
      </c>
      <c r="X12" t="str">
        <f t="shared" ca="1" si="2"/>
        <v>Sheets("Master Data").Range("E" &amp; RowNo).Value = Sheets("Standards Input").Range("").Value</v>
      </c>
      <c r="Z12" t="str">
        <f t="shared" ca="1" si="3"/>
        <v>Sheets("Standards Input").Range("").Value = Sheets("Master Data").Range("E" &amp; RowNo).Value</v>
      </c>
      <c r="AB12" s="172"/>
      <c r="AD12" s="172"/>
    </row>
    <row r="13" spans="1:58" ht="15" x14ac:dyDescent="0.25">
      <c r="A13" s="150">
        <v>6</v>
      </c>
      <c r="B13" s="150" t="str">
        <f t="shared" si="4"/>
        <v>F1</v>
      </c>
      <c r="D13" t="s">
        <v>416</v>
      </c>
      <c r="E13" t="str">
        <f t="shared" ca="1" si="5"/>
        <v>F</v>
      </c>
      <c r="F13" t="str">
        <f t="shared" ca="1" si="0"/>
        <v/>
      </c>
      <c r="G13" t="s">
        <v>417</v>
      </c>
      <c r="H13" t="s">
        <v>421</v>
      </c>
      <c r="I13" t="str">
        <f t="shared" ca="1" si="6"/>
        <v/>
      </c>
      <c r="J13" t="str">
        <f t="shared" ca="1" si="7"/>
        <v>IndexID</v>
      </c>
      <c r="K13" t="s">
        <v>431</v>
      </c>
      <c r="L13" s="150" t="s">
        <v>423</v>
      </c>
      <c r="M13" s="150" t="s">
        <v>435</v>
      </c>
      <c r="N13" t="str">
        <f t="shared" ca="1" si="8"/>
        <v>IndexID</v>
      </c>
      <c r="O13" s="150" t="s">
        <v>412</v>
      </c>
      <c r="P13" s="150" t="s">
        <v>428</v>
      </c>
      <c r="Q13" s="150" t="s">
        <v>399</v>
      </c>
      <c r="R13" t="str">
        <f t="shared" ca="1" si="9"/>
        <v>Sheets("Standards Input").Range("").Value</v>
      </c>
      <c r="S13" t="s">
        <v>398</v>
      </c>
      <c r="T13" t="s">
        <v>448</v>
      </c>
      <c r="U13" t="str">
        <f t="shared" ca="1" si="1"/>
        <v>Sheets("Master Data").Range("F" &amp; RowNo).Value</v>
      </c>
      <c r="V13" t="str">
        <f t="shared" ca="1" si="10"/>
        <v>Sheets("Multi Attributes Input").Range("IndexID").Value</v>
      </c>
      <c r="X13" t="str">
        <f t="shared" ca="1" si="2"/>
        <v>Sheets("Master Data").Range("F" &amp; RowNo).Value = Sheets("Standards Input").Range("").Value</v>
      </c>
      <c r="Z13" t="str">
        <f t="shared" ca="1" si="3"/>
        <v>Sheets("Standards Input").Range("").Value = Sheets("Master Data").Range("F" &amp; RowNo).Value</v>
      </c>
      <c r="AB13" s="172"/>
      <c r="AD13" s="172"/>
    </row>
    <row r="14" spans="1:58" ht="15" x14ac:dyDescent="0.25">
      <c r="A14" s="150">
        <v>7</v>
      </c>
      <c r="B14" s="150" t="str">
        <f t="shared" si="4"/>
        <v>G1</v>
      </c>
      <c r="D14" t="s">
        <v>416</v>
      </c>
      <c r="E14" t="str">
        <f t="shared" ca="1" si="5"/>
        <v>G</v>
      </c>
      <c r="F14" t="str">
        <f t="shared" ca="1" si="0"/>
        <v/>
      </c>
      <c r="G14" t="s">
        <v>417</v>
      </c>
      <c r="H14" t="s">
        <v>421</v>
      </c>
      <c r="I14" t="str">
        <f t="shared" ca="1" si="6"/>
        <v/>
      </c>
      <c r="J14" t="str">
        <f t="shared" ca="1" si="7"/>
        <v>Index Title</v>
      </c>
      <c r="K14" t="s">
        <v>431</v>
      </c>
      <c r="L14" s="150" t="s">
        <v>423</v>
      </c>
      <c r="M14" s="150" t="s">
        <v>435</v>
      </c>
      <c r="N14" t="str">
        <f t="shared" ca="1" si="8"/>
        <v>Index Title</v>
      </c>
      <c r="O14" s="150" t="s">
        <v>412</v>
      </c>
      <c r="P14" s="150" t="s">
        <v>428</v>
      </c>
      <c r="Q14" s="150" t="s">
        <v>399</v>
      </c>
      <c r="R14" t="str">
        <f t="shared" ca="1" si="9"/>
        <v>Sheets("Standards Input").Range("").Value</v>
      </c>
      <c r="S14" t="s">
        <v>398</v>
      </c>
      <c r="T14" t="s">
        <v>448</v>
      </c>
      <c r="U14" t="str">
        <f t="shared" ca="1" si="1"/>
        <v>Sheets("Master Data").Range("G" &amp; RowNo).Value</v>
      </c>
      <c r="V14" t="str">
        <f t="shared" ca="1" si="10"/>
        <v>Sheets("Multi Attributes Input").Range("Index Title").Value</v>
      </c>
      <c r="X14" t="str">
        <f t="shared" ca="1" si="2"/>
        <v>Sheets("Master Data").Range("G" &amp; RowNo).Value = Sheets("Standards Input").Range("").Value</v>
      </c>
      <c r="Z14" t="str">
        <f t="shared" ca="1" si="3"/>
        <v>Sheets("Standards Input").Range("").Value = Sheets("Master Data").Range("G" &amp; RowNo).Value</v>
      </c>
      <c r="AB14" s="172"/>
      <c r="AD14" s="172"/>
    </row>
    <row r="15" spans="1:58" ht="15" x14ac:dyDescent="0.25">
      <c r="A15" s="150">
        <v>8</v>
      </c>
      <c r="B15" s="150" t="str">
        <f t="shared" si="4"/>
        <v>H1</v>
      </c>
      <c r="D15" t="s">
        <v>416</v>
      </c>
      <c r="E15">
        <f t="shared" ca="1" si="5"/>
        <v>0</v>
      </c>
      <c r="F15" t="e">
        <f t="shared" ca="1" si="0"/>
        <v>#REF!</v>
      </c>
      <c r="G15" t="s">
        <v>417</v>
      </c>
      <c r="H15" t="s">
        <v>421</v>
      </c>
      <c r="I15" t="e">
        <f t="shared" ca="1" si="6"/>
        <v>#REF!</v>
      </c>
      <c r="J15" t="e">
        <f t="shared" ca="1" si="7"/>
        <v>#REF!</v>
      </c>
      <c r="K15" t="s">
        <v>431</v>
      </c>
      <c r="L15" s="150" t="s">
        <v>423</v>
      </c>
      <c r="M15" s="150" t="s">
        <v>435</v>
      </c>
      <c r="N15" t="e">
        <f t="shared" ca="1" si="8"/>
        <v>#REF!</v>
      </c>
      <c r="O15" s="150" t="s">
        <v>412</v>
      </c>
      <c r="P15" s="150" t="s">
        <v>428</v>
      </c>
      <c r="Q15" s="150" t="s">
        <v>399</v>
      </c>
      <c r="R15" t="e">
        <f t="shared" ca="1" si="9"/>
        <v>#REF!</v>
      </c>
      <c r="S15" t="s">
        <v>398</v>
      </c>
      <c r="T15" t="s">
        <v>448</v>
      </c>
      <c r="U15" t="str">
        <f t="shared" ca="1" si="1"/>
        <v>Sheets("Master Data").Range("0" &amp; RowNo).Value</v>
      </c>
      <c r="V15" t="e">
        <f t="shared" ca="1" si="10"/>
        <v>#REF!</v>
      </c>
      <c r="X15" t="e">
        <f t="shared" ca="1" si="2"/>
        <v>#REF!</v>
      </c>
      <c r="Z15" t="e">
        <f t="shared" ca="1" si="3"/>
        <v>#REF!</v>
      </c>
      <c r="AB15" s="172"/>
      <c r="AD15" s="172"/>
    </row>
    <row r="16" spans="1:58" ht="15" x14ac:dyDescent="0.25">
      <c r="A16" s="150">
        <v>9</v>
      </c>
      <c r="B16" s="150" t="str">
        <f t="shared" si="4"/>
        <v>I1</v>
      </c>
      <c r="D16" t="s">
        <v>416</v>
      </c>
      <c r="E16" t="str">
        <f t="shared" ca="1" si="5"/>
        <v>I$</v>
      </c>
      <c r="F16" t="str">
        <f t="shared" ca="1" si="0"/>
        <v/>
      </c>
      <c r="G16" t="s">
        <v>417</v>
      </c>
      <c r="H16" t="s">
        <v>421</v>
      </c>
      <c r="I16" t="str">
        <f t="shared" ca="1" si="6"/>
        <v>C27</v>
      </c>
      <c r="J16" t="str">
        <f t="shared" ca="1" si="7"/>
        <v>Self Assessment</v>
      </c>
      <c r="K16" t="s">
        <v>431</v>
      </c>
      <c r="L16" s="150" t="s">
        <v>423</v>
      </c>
      <c r="M16" s="150" t="s">
        <v>435</v>
      </c>
      <c r="N16" t="str">
        <f t="shared" ca="1" si="8"/>
        <v>Self Assessment</v>
      </c>
      <c r="O16" s="150" t="s">
        <v>412</v>
      </c>
      <c r="P16" s="150" t="s">
        <v>428</v>
      </c>
      <c r="Q16" s="150" t="s">
        <v>399</v>
      </c>
      <c r="R16" t="str">
        <f t="shared" ca="1" si="9"/>
        <v>Sheets("Standards Input").Range("C27").Value</v>
      </c>
      <c r="S16" t="s">
        <v>398</v>
      </c>
      <c r="T16" t="s">
        <v>448</v>
      </c>
      <c r="U16" t="str">
        <f t="shared" ca="1" si="1"/>
        <v>Sheets("Master Data").Range("I$" &amp; RowNo).Value</v>
      </c>
      <c r="V16" t="str">
        <f t="shared" ca="1" si="10"/>
        <v>Sheets("Multi Attributes Input").Range("Self Assessment").Value</v>
      </c>
      <c r="X16" t="str">
        <f t="shared" ca="1" si="2"/>
        <v>Sheets("Master Data").Range("I$" &amp; RowNo).Value = Sheets("Standards Input").Range("C27").Value</v>
      </c>
      <c r="Z16" t="str">
        <f t="shared" ca="1" si="3"/>
        <v>Sheets("Standards Input").Range("C27").Value = Sheets("Master Data").Range("I$" &amp; RowNo).Value</v>
      </c>
      <c r="AB16" t="str">
        <f ca="1">CONCATENATE(V16,O16,R16)</f>
        <v>Sheets("Multi Attributes Input").Range("Self Assessment").Value = Sheets("Standards Input").Range("C27").Value</v>
      </c>
      <c r="AD16" t="str">
        <f ca="1">CONCATENATE(U16,O16,V16)</f>
        <v>Sheets("Master Data").Range("I$" &amp; RowNo).Value = Sheets("Multi Attributes Input").Range("Self Assessment").Value</v>
      </c>
      <c r="AV16" t="s">
        <v>398</v>
      </c>
      <c r="AW16" t="s">
        <v>401</v>
      </c>
      <c r="AX16" t="s">
        <v>399</v>
      </c>
      <c r="BA16" t="s">
        <v>412</v>
      </c>
      <c r="BF16" t="str">
        <f>CONCATENATE(AV16,AW16,AX16)</f>
        <v>Sheets("Master Data").Range(Under_Development_MDLoc).Value</v>
      </c>
    </row>
    <row r="17" spans="1:58" ht="15" x14ac:dyDescent="0.25">
      <c r="A17" s="150">
        <v>10</v>
      </c>
      <c r="B17" s="150" t="str">
        <f t="shared" si="4"/>
        <v>J1</v>
      </c>
      <c r="D17" t="s">
        <v>416</v>
      </c>
      <c r="E17" t="str">
        <f t="shared" ca="1" si="5"/>
        <v>J$</v>
      </c>
      <c r="F17" t="str">
        <f t="shared" ca="1" si="0"/>
        <v/>
      </c>
      <c r="G17" t="s">
        <v>417</v>
      </c>
      <c r="H17" t="s">
        <v>421</v>
      </c>
      <c r="I17" t="str">
        <f t="shared" ca="1" si="6"/>
        <v>E27</v>
      </c>
      <c r="J17" t="str">
        <f t="shared" ca="1" si="7"/>
        <v>Mystery Guest</v>
      </c>
      <c r="K17" t="s">
        <v>431</v>
      </c>
      <c r="L17" s="150" t="s">
        <v>423</v>
      </c>
      <c r="M17" s="150" t="s">
        <v>435</v>
      </c>
      <c r="N17" t="str">
        <f t="shared" ca="1" si="8"/>
        <v>Mystery Guest</v>
      </c>
      <c r="O17" s="150" t="s">
        <v>412</v>
      </c>
      <c r="P17" s="150" t="s">
        <v>428</v>
      </c>
      <c r="Q17" s="150" t="s">
        <v>399</v>
      </c>
      <c r="R17" t="str">
        <f t="shared" ca="1" si="9"/>
        <v>Sheets("Standards Input").Range("E27").Value</v>
      </c>
      <c r="S17" t="s">
        <v>398</v>
      </c>
      <c r="T17" t="s">
        <v>448</v>
      </c>
      <c r="U17" t="str">
        <f t="shared" ca="1" si="1"/>
        <v>Sheets("Master Data").Range("J$" &amp; RowNo).Value</v>
      </c>
      <c r="V17" t="str">
        <f t="shared" ca="1" si="10"/>
        <v>Sheets("Multi Attributes Input").Range("Mystery Guest").Value</v>
      </c>
      <c r="X17" t="str">
        <f t="shared" ca="1" si="2"/>
        <v>Sheets("Master Data").Range("J$" &amp; RowNo).Value = Sheets("Standards Input").Range("E27").Value</v>
      </c>
      <c r="Z17" t="str">
        <f t="shared" ca="1" si="3"/>
        <v>Sheets("Standards Input").Range("E27").Value = Sheets("Master Data").Range("J$" &amp; RowNo).Value</v>
      </c>
      <c r="AB17" t="str">
        <f t="shared" ref="AB17:AB72" ca="1" si="11">CONCATENATE(V17,O17,R17)</f>
        <v>Sheets("Multi Attributes Input").Range("Mystery Guest").Value = Sheets("Standards Input").Range("E27").Value</v>
      </c>
      <c r="AD17" t="str">
        <f t="shared" ref="AD17:AD80" ca="1" si="12">CONCATENATE(U17,O17,V17)</f>
        <v>Sheets("Master Data").Range("J$" &amp; RowNo).Value = Sheets("Multi Attributes Input").Range("Mystery Guest").Value</v>
      </c>
      <c r="AV17" t="s">
        <v>398</v>
      </c>
      <c r="AW17" t="s">
        <v>402</v>
      </c>
      <c r="AX17" t="s">
        <v>399</v>
      </c>
      <c r="BA17" t="s">
        <v>412</v>
      </c>
      <c r="BF17" t="str">
        <f t="shared" ref="BF17:BF21" si="13">CONCATENATE(AV17,AW17,AX17)</f>
        <v>Sheets("Master Data").Range(In_Testing_MDLoc).Value</v>
      </c>
    </row>
    <row r="18" spans="1:58" ht="15" x14ac:dyDescent="0.25">
      <c r="A18" s="150">
        <v>11</v>
      </c>
      <c r="B18" s="150" t="str">
        <f t="shared" si="4"/>
        <v>K1</v>
      </c>
      <c r="D18" t="s">
        <v>416</v>
      </c>
      <c r="E18" t="str">
        <f t="shared" ca="1" si="5"/>
        <v>K$</v>
      </c>
      <c r="F18" t="str">
        <f t="shared" ca="1" si="0"/>
        <v/>
      </c>
      <c r="G18" t="s">
        <v>417</v>
      </c>
      <c r="H18" t="s">
        <v>421</v>
      </c>
      <c r="I18" t="str">
        <f t="shared" ca="1" si="6"/>
        <v>G27</v>
      </c>
      <c r="J18" t="str">
        <f t="shared" ca="1" si="7"/>
        <v>On-site Evaluation</v>
      </c>
      <c r="K18" t="s">
        <v>431</v>
      </c>
      <c r="L18" s="150" t="s">
        <v>423</v>
      </c>
      <c r="M18" s="150" t="s">
        <v>435</v>
      </c>
      <c r="N18" t="str">
        <f t="shared" ca="1" si="8"/>
        <v>On-site Evaluation</v>
      </c>
      <c r="O18" s="150" t="s">
        <v>412</v>
      </c>
      <c r="P18" s="150" t="s">
        <v>428</v>
      </c>
      <c r="Q18" s="150" t="s">
        <v>399</v>
      </c>
      <c r="R18" t="str">
        <f t="shared" ca="1" si="9"/>
        <v>Sheets("Standards Input").Range("G27").Value</v>
      </c>
      <c r="S18" t="s">
        <v>398</v>
      </c>
      <c r="T18" t="s">
        <v>448</v>
      </c>
      <c r="U18" t="str">
        <f t="shared" ca="1" si="1"/>
        <v>Sheets("Master Data").Range("K$" &amp; RowNo).Value</v>
      </c>
      <c r="V18" t="str">
        <f t="shared" ca="1" si="10"/>
        <v>Sheets("Multi Attributes Input").Range("On-site Evaluation").Value</v>
      </c>
      <c r="X18" t="str">
        <f t="shared" ca="1" si="2"/>
        <v>Sheets("Master Data").Range("K$" &amp; RowNo).Value = Sheets("Standards Input").Range("G27").Value</v>
      </c>
      <c r="Z18" t="str">
        <f t="shared" ca="1" si="3"/>
        <v>Sheets("Standards Input").Range("G27").Value = Sheets("Master Data").Range("K$" &amp; RowNo).Value</v>
      </c>
      <c r="AB18" t="str">
        <f t="shared" ca="1" si="11"/>
        <v>Sheets("Multi Attributes Input").Range("On-site Evaluation").Value = Sheets("Standards Input").Range("G27").Value</v>
      </c>
      <c r="AD18" t="str">
        <f t="shared" ca="1" si="12"/>
        <v>Sheets("Master Data").Range("K$" &amp; RowNo).Value = Sheets("Multi Attributes Input").Range("On-site Evaluation").Value</v>
      </c>
      <c r="AV18" t="s">
        <v>398</v>
      </c>
      <c r="AW18" t="s">
        <v>403</v>
      </c>
      <c r="AX18" t="s">
        <v>399</v>
      </c>
      <c r="BA18" t="s">
        <v>412</v>
      </c>
      <c r="BF18" t="str">
        <f t="shared" si="13"/>
        <v>Sheets("Master Data").Range(Awaiting_approval_MDLoc).Value</v>
      </c>
    </row>
    <row r="19" spans="1:58" ht="15" x14ac:dyDescent="0.25">
      <c r="A19" s="150">
        <v>12</v>
      </c>
      <c r="B19" s="150" t="str">
        <f t="shared" si="4"/>
        <v>L1</v>
      </c>
      <c r="D19" t="s">
        <v>416</v>
      </c>
      <c r="E19" t="str">
        <f t="shared" ca="1" si="5"/>
        <v>L$</v>
      </c>
      <c r="F19" t="str">
        <f t="shared" ca="1" si="0"/>
        <v/>
      </c>
      <c r="G19" t="s">
        <v>417</v>
      </c>
      <c r="H19" t="s">
        <v>421</v>
      </c>
      <c r="I19" t="str">
        <f t="shared" ca="1" si="6"/>
        <v>C29</v>
      </c>
      <c r="J19" t="str">
        <f t="shared" ca="1" si="7"/>
        <v>HeartBeat</v>
      </c>
      <c r="K19" t="s">
        <v>431</v>
      </c>
      <c r="L19" s="150" t="s">
        <v>423</v>
      </c>
      <c r="M19" s="150" t="s">
        <v>435</v>
      </c>
      <c r="N19" t="str">
        <f t="shared" ca="1" si="8"/>
        <v>HeartBeat</v>
      </c>
      <c r="O19" s="150" t="s">
        <v>412</v>
      </c>
      <c r="P19" s="150" t="s">
        <v>428</v>
      </c>
      <c r="Q19" s="150" t="s">
        <v>399</v>
      </c>
      <c r="R19" t="str">
        <f t="shared" ca="1" si="9"/>
        <v>Sheets("Standards Input").Range("C29").Value</v>
      </c>
      <c r="S19" t="s">
        <v>398</v>
      </c>
      <c r="T19" t="s">
        <v>448</v>
      </c>
      <c r="U19" t="str">
        <f t="shared" ca="1" si="1"/>
        <v>Sheets("Master Data").Range("L$" &amp; RowNo).Value</v>
      </c>
      <c r="V19" t="str">
        <f t="shared" ca="1" si="10"/>
        <v>Sheets("Multi Attributes Input").Range("HeartBeat").Value</v>
      </c>
      <c r="X19" t="str">
        <f t="shared" ca="1" si="2"/>
        <v>Sheets("Master Data").Range("L$" &amp; RowNo).Value = Sheets("Standards Input").Range("C29").Value</v>
      </c>
      <c r="Z19" t="str">
        <f t="shared" ca="1" si="3"/>
        <v>Sheets("Standards Input").Range("C29").Value = Sheets("Master Data").Range("L$" &amp; RowNo).Value</v>
      </c>
      <c r="AB19" t="str">
        <f t="shared" ca="1" si="11"/>
        <v>Sheets("Multi Attributes Input").Range("HeartBeat").Value = Sheets("Standards Input").Range("C29").Value</v>
      </c>
      <c r="AD19" t="str">
        <f t="shared" ca="1" si="12"/>
        <v>Sheets("Master Data").Range("L$" &amp; RowNo).Value = Sheets("Multi Attributes Input").Range("HeartBeat").Value</v>
      </c>
      <c r="AV19" t="s">
        <v>398</v>
      </c>
      <c r="AW19" t="s">
        <v>404</v>
      </c>
      <c r="AX19" t="s">
        <v>399</v>
      </c>
      <c r="BA19" t="s">
        <v>412</v>
      </c>
      <c r="BF19" t="str">
        <f t="shared" si="13"/>
        <v>Sheets("Master Data").Range(Approved_MDLoc).Value</v>
      </c>
    </row>
    <row r="20" spans="1:58" ht="15" x14ac:dyDescent="0.25">
      <c r="A20" s="150">
        <v>13</v>
      </c>
      <c r="B20" s="150" t="str">
        <f t="shared" si="4"/>
        <v>M1</v>
      </c>
      <c r="D20" t="s">
        <v>416</v>
      </c>
      <c r="E20" t="str">
        <f t="shared" ca="1" si="5"/>
        <v>M$</v>
      </c>
      <c r="F20" t="str">
        <f t="shared" ref="F20:F83" ca="1" si="14">SUBSTITUTE(INDIRECT("'Master Data'!" &amp; E20 &amp; 4)," ","_")</f>
        <v/>
      </c>
      <c r="G20" t="s">
        <v>417</v>
      </c>
      <c r="H20" t="s">
        <v>421</v>
      </c>
      <c r="I20" t="str">
        <f t="shared" ca="1" si="6"/>
        <v>E29</v>
      </c>
      <c r="J20" t="str">
        <f t="shared" ca="1" si="7"/>
        <v>Off-site Evaluation</v>
      </c>
      <c r="K20" t="s">
        <v>431</v>
      </c>
      <c r="L20" s="150" t="s">
        <v>423</v>
      </c>
      <c r="M20" s="150" t="s">
        <v>435</v>
      </c>
      <c r="N20" t="str">
        <f t="shared" ca="1" si="8"/>
        <v>Off-site Evaluation</v>
      </c>
      <c r="O20" s="150" t="s">
        <v>412</v>
      </c>
      <c r="P20" s="150" t="s">
        <v>428</v>
      </c>
      <c r="Q20" s="150" t="s">
        <v>399</v>
      </c>
      <c r="R20" t="str">
        <f t="shared" ca="1" si="9"/>
        <v>Sheets("Standards Input").Range("E29").Value</v>
      </c>
      <c r="S20" t="s">
        <v>398</v>
      </c>
      <c r="T20" t="s">
        <v>448</v>
      </c>
      <c r="U20" t="str">
        <f t="shared" ca="1" si="1"/>
        <v>Sheets("Master Data").Range("M$" &amp; RowNo).Value</v>
      </c>
      <c r="V20" t="str">
        <f t="shared" ca="1" si="10"/>
        <v>Sheets("Multi Attributes Input").Range("Off-site Evaluation").Value</v>
      </c>
      <c r="X20" t="str">
        <f t="shared" ca="1" si="2"/>
        <v>Sheets("Master Data").Range("M$" &amp; RowNo).Value = Sheets("Standards Input").Range("E29").Value</v>
      </c>
      <c r="Z20" t="str">
        <f t="shared" ca="1" si="3"/>
        <v>Sheets("Standards Input").Range("E29").Value = Sheets("Master Data").Range("M$" &amp; RowNo).Value</v>
      </c>
      <c r="AB20" t="str">
        <f t="shared" ca="1" si="11"/>
        <v>Sheets("Multi Attributes Input").Range("Off-site Evaluation").Value = Sheets("Standards Input").Range("E29").Value</v>
      </c>
      <c r="AD20" t="str">
        <f t="shared" ca="1" si="12"/>
        <v>Sheets("Master Data").Range("M$" &amp; RowNo).Value = Sheets("Multi Attributes Input").Range("Off-site Evaluation").Value</v>
      </c>
      <c r="AV20" t="s">
        <v>398</v>
      </c>
      <c r="AW20" t="s">
        <v>405</v>
      </c>
      <c r="AX20" t="s">
        <v>399</v>
      </c>
      <c r="BA20" t="s">
        <v>412</v>
      </c>
      <c r="BF20" t="str">
        <f t="shared" si="13"/>
        <v>Sheets("Master Data").Range(Launched_MDLoc).Value</v>
      </c>
    </row>
    <row r="21" spans="1:58" ht="15" x14ac:dyDescent="0.25">
      <c r="A21" s="150">
        <v>14</v>
      </c>
      <c r="B21" s="150" t="str">
        <f t="shared" si="4"/>
        <v>N1</v>
      </c>
      <c r="D21" t="s">
        <v>416</v>
      </c>
      <c r="E21">
        <f ca="1">INDIRECT("'Master Data'!" &amp; B21)</f>
        <v>0</v>
      </c>
      <c r="F21" t="e">
        <f t="shared" ca="1" si="14"/>
        <v>#REF!</v>
      </c>
      <c r="G21" t="s">
        <v>417</v>
      </c>
      <c r="H21" t="s">
        <v>421</v>
      </c>
      <c r="I21" t="e">
        <f t="shared" ca="1" si="6"/>
        <v>#REF!</v>
      </c>
      <c r="J21" t="e">
        <f t="shared" ca="1" si="7"/>
        <v>#REF!</v>
      </c>
      <c r="K21" t="s">
        <v>431</v>
      </c>
      <c r="L21" s="150" t="s">
        <v>423</v>
      </c>
      <c r="M21" s="150" t="s">
        <v>435</v>
      </c>
      <c r="N21" t="e">
        <f t="shared" ca="1" si="8"/>
        <v>#REF!</v>
      </c>
      <c r="O21" s="150" t="s">
        <v>412</v>
      </c>
      <c r="P21" s="150" t="s">
        <v>428</v>
      </c>
      <c r="Q21" s="150" t="s">
        <v>399</v>
      </c>
      <c r="R21" t="e">
        <f t="shared" ca="1" si="9"/>
        <v>#REF!</v>
      </c>
      <c r="S21" t="s">
        <v>398</v>
      </c>
      <c r="T21" t="s">
        <v>448</v>
      </c>
      <c r="U21" t="str">
        <f t="shared" ca="1" si="1"/>
        <v>Sheets("Master Data").Range("0" &amp; RowNo).Value</v>
      </c>
      <c r="V21" t="e">
        <f t="shared" ca="1" si="10"/>
        <v>#REF!</v>
      </c>
      <c r="X21" t="e">
        <f t="shared" ca="1" si="2"/>
        <v>#REF!</v>
      </c>
      <c r="Z21" t="e">
        <f t="shared" ca="1" si="3"/>
        <v>#REF!</v>
      </c>
      <c r="AB21" t="e">
        <f t="shared" ca="1" si="11"/>
        <v>#REF!</v>
      </c>
      <c r="AD21" t="e">
        <f t="shared" ca="1" si="12"/>
        <v>#REF!</v>
      </c>
      <c r="AV21" t="s">
        <v>398</v>
      </c>
      <c r="AW21" t="s">
        <v>400</v>
      </c>
      <c r="AX21" t="s">
        <v>399</v>
      </c>
      <c r="BA21" t="s">
        <v>412</v>
      </c>
      <c r="BF21" t="str">
        <f t="shared" si="13"/>
        <v>Sheets("Master Data").Range(Discontinued_MDLoc).Value</v>
      </c>
    </row>
    <row r="22" spans="1:58" ht="15" x14ac:dyDescent="0.25">
      <c r="A22" s="150">
        <v>15</v>
      </c>
      <c r="B22" s="150" t="str">
        <f t="shared" si="4"/>
        <v>O1</v>
      </c>
      <c r="D22" t="s">
        <v>416</v>
      </c>
      <c r="E22" t="str">
        <f t="shared" ca="1" si="5"/>
        <v>O$</v>
      </c>
      <c r="F22" t="str">
        <f t="shared" ca="1" si="14"/>
        <v/>
      </c>
      <c r="G22" t="s">
        <v>417</v>
      </c>
      <c r="H22" t="s">
        <v>421</v>
      </c>
      <c r="I22" t="str">
        <f t="shared" ca="1" si="6"/>
        <v>C40</v>
      </c>
      <c r="J22" t="str">
        <f t="shared" ca="1" si="7"/>
        <v>Brand Safety Standards</v>
      </c>
      <c r="K22" t="s">
        <v>431</v>
      </c>
      <c r="L22" s="150" t="s">
        <v>423</v>
      </c>
      <c r="M22" s="150" t="s">
        <v>435</v>
      </c>
      <c r="N22" t="str">
        <f t="shared" ca="1" si="8"/>
        <v>Brand Safety Standards</v>
      </c>
      <c r="O22" s="150" t="s">
        <v>412</v>
      </c>
      <c r="P22" s="150" t="s">
        <v>428</v>
      </c>
      <c r="Q22" s="150" t="s">
        <v>399</v>
      </c>
      <c r="R22" t="str">
        <f t="shared" ca="1" si="9"/>
        <v>Sheets("Standards Input").Range("C40").Value</v>
      </c>
      <c r="S22" t="s">
        <v>398</v>
      </c>
      <c r="T22" t="s">
        <v>448</v>
      </c>
      <c r="U22" t="str">
        <f t="shared" ca="1" si="1"/>
        <v>Sheets("Master Data").Range("O$" &amp; RowNo).Value</v>
      </c>
      <c r="V22" t="str">
        <f t="shared" ca="1" si="10"/>
        <v>Sheets("Multi Attributes Input").Range("Brand Safety Standards").Value</v>
      </c>
      <c r="X22" t="str">
        <f t="shared" ca="1" si="2"/>
        <v>Sheets("Master Data").Range("O$" &amp; RowNo).Value = Sheets("Standards Input").Range("C40").Value</v>
      </c>
      <c r="Z22" t="str">
        <f t="shared" ca="1" si="3"/>
        <v>Sheets("Standards Input").Range("C40").Value = Sheets("Master Data").Range("O$" &amp; RowNo).Value</v>
      </c>
      <c r="AB22" t="str">
        <f t="shared" ca="1" si="11"/>
        <v>Sheets("Multi Attributes Input").Range("Brand Safety Standards").Value = Sheets("Standards Input").Range("C40").Value</v>
      </c>
      <c r="AD22" t="str">
        <f t="shared" ca="1" si="12"/>
        <v>Sheets("Master Data").Range("O$" &amp; RowNo).Value = Sheets("Multi Attributes Input").Range("Brand Safety Standards").Value</v>
      </c>
    </row>
    <row r="23" spans="1:58" ht="15" x14ac:dyDescent="0.25">
      <c r="A23" s="150">
        <v>16</v>
      </c>
      <c r="B23" s="150" t="str">
        <f t="shared" si="4"/>
        <v>P1</v>
      </c>
      <c r="D23" t="s">
        <v>416</v>
      </c>
      <c r="E23" t="str">
        <f t="shared" ca="1" si="5"/>
        <v>P$</v>
      </c>
      <c r="F23" t="str">
        <f t="shared" ca="1" si="14"/>
        <v/>
      </c>
      <c r="G23" t="s">
        <v>417</v>
      </c>
      <c r="H23" t="s">
        <v>421</v>
      </c>
      <c r="I23" t="str">
        <f t="shared" ca="1" si="6"/>
        <v>C42</v>
      </c>
      <c r="J23" t="str">
        <f t="shared" ca="1" si="7"/>
        <v>Cleanliness</v>
      </c>
      <c r="K23" t="s">
        <v>431</v>
      </c>
      <c r="L23" s="150" t="s">
        <v>423</v>
      </c>
      <c r="M23" s="150" t="s">
        <v>435</v>
      </c>
      <c r="N23" t="str">
        <f t="shared" ca="1" si="8"/>
        <v>Cleanliness</v>
      </c>
      <c r="O23" s="150" t="s">
        <v>412</v>
      </c>
      <c r="P23" s="150" t="s">
        <v>428</v>
      </c>
      <c r="Q23" s="150" t="s">
        <v>399</v>
      </c>
      <c r="R23" t="str">
        <f t="shared" ca="1" si="9"/>
        <v>Sheets("Standards Input").Range("C42").Value</v>
      </c>
      <c r="S23" t="s">
        <v>398</v>
      </c>
      <c r="T23" t="s">
        <v>448</v>
      </c>
      <c r="U23" t="str">
        <f t="shared" ca="1" si="1"/>
        <v>Sheets("Master Data").Range("P$" &amp; RowNo).Value</v>
      </c>
      <c r="V23" t="str">
        <f t="shared" ca="1" si="10"/>
        <v>Sheets("Multi Attributes Input").Range("Cleanliness").Value</v>
      </c>
      <c r="X23" t="str">
        <f t="shared" ca="1" si="2"/>
        <v>Sheets("Master Data").Range("P$" &amp; RowNo).Value = Sheets("Standards Input").Range("C42").Value</v>
      </c>
      <c r="Z23" t="str">
        <f t="shared" ca="1" si="3"/>
        <v>Sheets("Standards Input").Range("C42").Value = Sheets("Master Data").Range("P$" &amp; RowNo).Value</v>
      </c>
      <c r="AB23" t="str">
        <f t="shared" ca="1" si="11"/>
        <v>Sheets("Multi Attributes Input").Range("Cleanliness").Value = Sheets("Standards Input").Range("C42").Value</v>
      </c>
      <c r="AD23" t="str">
        <f t="shared" ca="1" si="12"/>
        <v>Sheets("Master Data").Range("P$" &amp; RowNo).Value = Sheets("Multi Attributes Input").Range("Cleanliness").Value</v>
      </c>
    </row>
    <row r="24" spans="1:58" ht="15" x14ac:dyDescent="0.25">
      <c r="A24" s="150">
        <v>17</v>
      </c>
      <c r="B24" s="150" t="str">
        <f t="shared" si="4"/>
        <v>Q1</v>
      </c>
      <c r="D24" t="s">
        <v>416</v>
      </c>
      <c r="E24" t="str">
        <f t="shared" ca="1" si="5"/>
        <v>Q$</v>
      </c>
      <c r="F24" t="str">
        <f t="shared" ca="1" si="14"/>
        <v/>
      </c>
      <c r="G24" t="s">
        <v>417</v>
      </c>
      <c r="H24" t="s">
        <v>421</v>
      </c>
      <c r="I24" t="str">
        <f t="shared" ca="1" si="6"/>
        <v>E40</v>
      </c>
      <c r="J24" t="str">
        <f t="shared" ca="1" si="7"/>
        <v>Condition</v>
      </c>
      <c r="K24" t="s">
        <v>431</v>
      </c>
      <c r="L24" s="150" t="s">
        <v>423</v>
      </c>
      <c r="M24" s="150" t="s">
        <v>435</v>
      </c>
      <c r="N24" t="str">
        <f t="shared" ca="1" si="8"/>
        <v>Condition</v>
      </c>
      <c r="O24" s="150" t="s">
        <v>412</v>
      </c>
      <c r="P24" s="150" t="s">
        <v>428</v>
      </c>
      <c r="Q24" s="150" t="s">
        <v>399</v>
      </c>
      <c r="R24" t="str">
        <f t="shared" ca="1" si="9"/>
        <v>Sheets("Standards Input").Range("E40").Value</v>
      </c>
      <c r="S24" t="s">
        <v>398</v>
      </c>
      <c r="T24" t="s">
        <v>448</v>
      </c>
      <c r="U24" t="str">
        <f t="shared" ca="1" si="1"/>
        <v>Sheets("Master Data").Range("Q$" &amp; RowNo).Value</v>
      </c>
      <c r="V24" t="str">
        <f t="shared" ca="1" si="10"/>
        <v>Sheets("Multi Attributes Input").Range("Condition").Value</v>
      </c>
      <c r="X24" t="str">
        <f t="shared" ca="1" si="2"/>
        <v>Sheets("Master Data").Range("Q$" &amp; RowNo).Value = Sheets("Standards Input").Range("E40").Value</v>
      </c>
      <c r="Z24" t="str">
        <f t="shared" ca="1" si="3"/>
        <v>Sheets("Standards Input").Range("E40").Value = Sheets("Master Data").Range("Q$" &amp; RowNo).Value</v>
      </c>
      <c r="AB24" t="str">
        <f t="shared" ca="1" si="11"/>
        <v>Sheets("Multi Attributes Input").Range("Condition").Value = Sheets("Standards Input").Range("E40").Value</v>
      </c>
      <c r="AD24" t="str">
        <f t="shared" ca="1" si="12"/>
        <v>Sheets("Master Data").Range("Q$" &amp; RowNo).Value = Sheets("Multi Attributes Input").Range("Condition").Value</v>
      </c>
    </row>
    <row r="25" spans="1:58" ht="15" x14ac:dyDescent="0.25">
      <c r="A25" s="150">
        <v>18</v>
      </c>
      <c r="B25" s="150" t="str">
        <f t="shared" si="4"/>
        <v>R1</v>
      </c>
      <c r="D25" t="s">
        <v>416</v>
      </c>
      <c r="E25" t="str">
        <f t="shared" ca="1" si="5"/>
        <v>R$</v>
      </c>
      <c r="F25" t="str">
        <f t="shared" ca="1" si="14"/>
        <v/>
      </c>
      <c r="G25" t="s">
        <v>417</v>
      </c>
      <c r="H25" t="s">
        <v>421</v>
      </c>
      <c r="I25" t="str">
        <f t="shared" ca="1" si="6"/>
        <v>E42</v>
      </c>
      <c r="J25" t="str">
        <f t="shared" ca="1" si="7"/>
        <v>IHG Way</v>
      </c>
      <c r="K25" t="s">
        <v>431</v>
      </c>
      <c r="L25" s="150" t="s">
        <v>423</v>
      </c>
      <c r="M25" s="150" t="s">
        <v>435</v>
      </c>
      <c r="N25" t="str">
        <f t="shared" ca="1" si="8"/>
        <v>IHG Way</v>
      </c>
      <c r="O25" s="150" t="s">
        <v>412</v>
      </c>
      <c r="P25" s="150" t="s">
        <v>428</v>
      </c>
      <c r="Q25" s="150" t="s">
        <v>399</v>
      </c>
      <c r="R25" t="str">
        <f t="shared" ca="1" si="9"/>
        <v>Sheets("Standards Input").Range("E42").Value</v>
      </c>
      <c r="S25" t="s">
        <v>398</v>
      </c>
      <c r="T25" t="s">
        <v>448</v>
      </c>
      <c r="U25" t="str">
        <f t="shared" ca="1" si="1"/>
        <v>Sheets("Master Data").Range("R$" &amp; RowNo).Value</v>
      </c>
      <c r="V25" t="str">
        <f t="shared" ca="1" si="10"/>
        <v>Sheets("Multi Attributes Input").Range("IHG Way").Value</v>
      </c>
      <c r="X25" t="str">
        <f t="shared" ca="1" si="2"/>
        <v>Sheets("Master Data").Range("R$" &amp; RowNo).Value = Sheets("Standards Input").Range("E42").Value</v>
      </c>
      <c r="Z25" t="str">
        <f t="shared" ca="1" si="3"/>
        <v>Sheets("Standards Input").Range("E42").Value = Sheets("Master Data").Range("R$" &amp; RowNo).Value</v>
      </c>
      <c r="AB25" t="str">
        <f t="shared" ca="1" si="11"/>
        <v>Sheets("Multi Attributes Input").Range("IHG Way").Value = Sheets("Standards Input").Range("E42").Value</v>
      </c>
      <c r="AD25" t="str">
        <f t="shared" ca="1" si="12"/>
        <v>Sheets("Master Data").Range("R$" &amp; RowNo).Value = Sheets("Multi Attributes Input").Range("IHG Way").Value</v>
      </c>
      <c r="AV25" t="s">
        <v>406</v>
      </c>
      <c r="BA25" t="str">
        <f>CONCATENATE(BF16,BA16,AV25)</f>
        <v>Sheets("Master Data").Range(Under_Development_MDLoc).Value = Sheets("Standards Input").Range(Under_Development_ISLoc).Value</v>
      </c>
    </row>
    <row r="26" spans="1:58" ht="15" x14ac:dyDescent="0.25">
      <c r="A26" s="150">
        <v>19</v>
      </c>
      <c r="B26" s="150" t="str">
        <f t="shared" si="4"/>
        <v>S1</v>
      </c>
      <c r="D26" t="s">
        <v>416</v>
      </c>
      <c r="E26" t="str">
        <f t="shared" ca="1" si="5"/>
        <v>S$</v>
      </c>
      <c r="F26" t="str">
        <f t="shared" ca="1" si="14"/>
        <v/>
      </c>
      <c r="G26" t="s">
        <v>417</v>
      </c>
      <c r="H26" t="s">
        <v>421</v>
      </c>
      <c r="I26" t="str">
        <f t="shared" ca="1" si="6"/>
        <v>G40</v>
      </c>
      <c r="J26" t="str">
        <f t="shared" ca="1" si="7"/>
        <v>Product</v>
      </c>
      <c r="K26" t="s">
        <v>431</v>
      </c>
      <c r="L26" s="150" t="s">
        <v>423</v>
      </c>
      <c r="M26" s="150" t="s">
        <v>435</v>
      </c>
      <c r="N26" t="str">
        <f t="shared" ca="1" si="8"/>
        <v>Product</v>
      </c>
      <c r="O26" s="150" t="s">
        <v>412</v>
      </c>
      <c r="P26" s="150" t="s">
        <v>428</v>
      </c>
      <c r="Q26" s="150" t="s">
        <v>399</v>
      </c>
      <c r="R26" t="str">
        <f t="shared" ca="1" si="9"/>
        <v>Sheets("Standards Input").Range("G40").Value</v>
      </c>
      <c r="S26" t="s">
        <v>398</v>
      </c>
      <c r="T26" t="s">
        <v>448</v>
      </c>
      <c r="U26" t="str">
        <f t="shared" ca="1" si="1"/>
        <v>Sheets("Master Data").Range("S$" &amp; RowNo).Value</v>
      </c>
      <c r="V26" t="str">
        <f t="shared" ca="1" si="10"/>
        <v>Sheets("Multi Attributes Input").Range("Product").Value</v>
      </c>
      <c r="X26" t="str">
        <f t="shared" ca="1" si="2"/>
        <v>Sheets("Master Data").Range("S$" &amp; RowNo).Value = Sheets("Standards Input").Range("G40").Value</v>
      </c>
      <c r="Z26" t="str">
        <f t="shared" ca="1" si="3"/>
        <v>Sheets("Standards Input").Range("G40").Value = Sheets("Master Data").Range("S$" &amp; RowNo).Value</v>
      </c>
      <c r="AB26" t="str">
        <f t="shared" ca="1" si="11"/>
        <v>Sheets("Multi Attributes Input").Range("Product").Value = Sheets("Standards Input").Range("G40").Value</v>
      </c>
      <c r="AD26" t="str">
        <f t="shared" ca="1" si="12"/>
        <v>Sheets("Master Data").Range("S$" &amp; RowNo).Value = Sheets("Multi Attributes Input").Range("Product").Value</v>
      </c>
      <c r="AV26" t="s">
        <v>407</v>
      </c>
      <c r="BA26" t="str">
        <f t="shared" ref="BA26:BA30" si="15">CONCATENATE(BF17,BA17,AV26)</f>
        <v>Sheets("Master Data").Range(In_Testing_MDLoc).Value =     Sheets("Standards Input").Range(In_Testing_ISLoc).Value</v>
      </c>
    </row>
    <row r="27" spans="1:58" ht="15" x14ac:dyDescent="0.25">
      <c r="A27" s="150">
        <v>20</v>
      </c>
      <c r="B27" s="150" t="str">
        <f t="shared" si="4"/>
        <v>T1</v>
      </c>
      <c r="D27" t="s">
        <v>416</v>
      </c>
      <c r="E27" t="str">
        <f t="shared" ca="1" si="5"/>
        <v>T$</v>
      </c>
      <c r="F27" t="str">
        <f t="shared" ca="1" si="14"/>
        <v/>
      </c>
      <c r="G27" t="s">
        <v>417</v>
      </c>
      <c r="H27" t="s">
        <v>421</v>
      </c>
      <c r="I27" t="str">
        <f t="shared" ca="1" si="6"/>
        <v>G42</v>
      </c>
      <c r="J27" t="str">
        <f t="shared" ca="1" si="7"/>
        <v>Service Standards</v>
      </c>
      <c r="K27" t="s">
        <v>431</v>
      </c>
      <c r="L27" s="150" t="s">
        <v>423</v>
      </c>
      <c r="M27" s="150" t="s">
        <v>435</v>
      </c>
      <c r="N27" t="str">
        <f t="shared" ca="1" si="8"/>
        <v>Service Standards</v>
      </c>
      <c r="O27" s="150" t="s">
        <v>412</v>
      </c>
      <c r="P27" s="150" t="s">
        <v>428</v>
      </c>
      <c r="Q27" s="150" t="s">
        <v>399</v>
      </c>
      <c r="R27" t="str">
        <f t="shared" ca="1" si="9"/>
        <v>Sheets("Standards Input").Range("G42").Value</v>
      </c>
      <c r="S27" t="s">
        <v>398</v>
      </c>
      <c r="T27" t="s">
        <v>448</v>
      </c>
      <c r="U27" t="str">
        <f t="shared" ca="1" si="1"/>
        <v>Sheets("Master Data").Range("T$" &amp; RowNo).Value</v>
      </c>
      <c r="V27" t="str">
        <f t="shared" ca="1" si="10"/>
        <v>Sheets("Multi Attributes Input").Range("Service Standards").Value</v>
      </c>
      <c r="X27" t="str">
        <f t="shared" ca="1" si="2"/>
        <v>Sheets("Master Data").Range("T$" &amp; RowNo).Value = Sheets("Standards Input").Range("G42").Value</v>
      </c>
      <c r="Z27" t="str">
        <f t="shared" ca="1" si="3"/>
        <v>Sheets("Standards Input").Range("G42").Value = Sheets("Master Data").Range("T$" &amp; RowNo).Value</v>
      </c>
      <c r="AB27" t="str">
        <f t="shared" ca="1" si="11"/>
        <v>Sheets("Multi Attributes Input").Range("Service Standards").Value = Sheets("Standards Input").Range("G42").Value</v>
      </c>
      <c r="AD27" t="str">
        <f t="shared" ca="1" si="12"/>
        <v>Sheets("Master Data").Range("T$" &amp; RowNo).Value = Sheets("Multi Attributes Input").Range("Service Standards").Value</v>
      </c>
      <c r="AV27" t="s">
        <v>408</v>
      </c>
      <c r="BA27" t="str">
        <f t="shared" si="15"/>
        <v>Sheets("Master Data").Range(Awaiting_approval_MDLoc).Value =     Sheets("Standards Input").Range(Awaiting_approval_ISLoc).Value</v>
      </c>
    </row>
    <row r="28" spans="1:58" ht="15" x14ac:dyDescent="0.25">
      <c r="A28" s="150">
        <v>21</v>
      </c>
      <c r="B28" s="150" t="str">
        <f t="shared" si="4"/>
        <v>U1</v>
      </c>
      <c r="D28" t="s">
        <v>416</v>
      </c>
      <c r="E28">
        <f t="shared" ca="1" si="5"/>
        <v>0</v>
      </c>
      <c r="F28" t="e">
        <f t="shared" ca="1" si="14"/>
        <v>#REF!</v>
      </c>
      <c r="G28" t="s">
        <v>417</v>
      </c>
      <c r="H28" t="s">
        <v>421</v>
      </c>
      <c r="I28" t="e">
        <f t="shared" ca="1" si="6"/>
        <v>#REF!</v>
      </c>
      <c r="J28" t="e">
        <f t="shared" ca="1" si="7"/>
        <v>#REF!</v>
      </c>
      <c r="K28" t="s">
        <v>431</v>
      </c>
      <c r="L28" s="150" t="s">
        <v>423</v>
      </c>
      <c r="M28" s="150" t="s">
        <v>435</v>
      </c>
      <c r="N28" t="e">
        <f t="shared" ca="1" si="8"/>
        <v>#REF!</v>
      </c>
      <c r="O28" s="150" t="s">
        <v>412</v>
      </c>
      <c r="P28" s="150" t="s">
        <v>428</v>
      </c>
      <c r="Q28" s="150" t="s">
        <v>399</v>
      </c>
      <c r="R28" t="e">
        <f t="shared" ca="1" si="9"/>
        <v>#REF!</v>
      </c>
      <c r="S28" t="s">
        <v>398</v>
      </c>
      <c r="T28" t="s">
        <v>448</v>
      </c>
      <c r="U28" t="str">
        <f t="shared" ca="1" si="1"/>
        <v>Sheets("Master Data").Range("0" &amp; RowNo).Value</v>
      </c>
      <c r="V28" t="e">
        <f t="shared" ca="1" si="10"/>
        <v>#REF!</v>
      </c>
      <c r="X28" t="e">
        <f t="shared" ca="1" si="2"/>
        <v>#REF!</v>
      </c>
      <c r="Z28" t="e">
        <f t="shared" ca="1" si="3"/>
        <v>#REF!</v>
      </c>
      <c r="AB28" t="e">
        <f t="shared" ca="1" si="11"/>
        <v>#REF!</v>
      </c>
      <c r="AD28" t="e">
        <f t="shared" ca="1" si="12"/>
        <v>#REF!</v>
      </c>
      <c r="AV28" t="s">
        <v>409</v>
      </c>
      <c r="BA28" t="str">
        <f t="shared" si="15"/>
        <v>Sheets("Master Data").Range(Approved_MDLoc).Value =     Sheets("Standards Input").Range(Approved_ISLoc).Value</v>
      </c>
    </row>
    <row r="29" spans="1:58" ht="15" x14ac:dyDescent="0.25">
      <c r="A29" s="150">
        <v>22</v>
      </c>
      <c r="B29" s="150" t="str">
        <f t="shared" si="4"/>
        <v>V1</v>
      </c>
      <c r="D29" t="s">
        <v>416</v>
      </c>
      <c r="E29" t="str">
        <f t="shared" ca="1" si="5"/>
        <v>V$</v>
      </c>
      <c r="F29" t="str">
        <f t="shared" ca="1" si="14"/>
        <v/>
      </c>
      <c r="G29" t="s">
        <v>417</v>
      </c>
      <c r="H29" t="s">
        <v>421</v>
      </c>
      <c r="I29" t="str">
        <f t="shared" ca="1" si="6"/>
        <v>C53</v>
      </c>
      <c r="J29" t="str">
        <f t="shared" ca="1" si="7"/>
        <v>Pre-Walk</v>
      </c>
      <c r="K29" t="s">
        <v>431</v>
      </c>
      <c r="L29" s="150" t="s">
        <v>423</v>
      </c>
      <c r="M29" s="150" t="s">
        <v>435</v>
      </c>
      <c r="N29" t="str">
        <f t="shared" ca="1" si="8"/>
        <v>Pre-Walk</v>
      </c>
      <c r="O29" s="150" t="s">
        <v>412</v>
      </c>
      <c r="P29" s="150" t="s">
        <v>428</v>
      </c>
      <c r="Q29" s="150" t="s">
        <v>399</v>
      </c>
      <c r="R29" t="str">
        <f t="shared" ca="1" si="9"/>
        <v>Sheets("Standards Input").Range("C53").Value</v>
      </c>
      <c r="S29" t="s">
        <v>398</v>
      </c>
      <c r="T29" t="s">
        <v>448</v>
      </c>
      <c r="U29" t="str">
        <f t="shared" ca="1" si="1"/>
        <v>Sheets("Master Data").Range("V$" &amp; RowNo).Value</v>
      </c>
      <c r="V29" t="str">
        <f t="shared" ca="1" si="10"/>
        <v>Sheets("Multi Attributes Input").Range("Pre-Walk").Value</v>
      </c>
      <c r="X29" t="str">
        <f t="shared" ca="1" si="2"/>
        <v>Sheets("Master Data").Range("V$" &amp; RowNo).Value = Sheets("Standards Input").Range("C53").Value</v>
      </c>
      <c r="Z29" t="str">
        <f t="shared" ca="1" si="3"/>
        <v>Sheets("Standards Input").Range("C53").Value = Sheets("Master Data").Range("V$" &amp; RowNo).Value</v>
      </c>
      <c r="AB29" t="str">
        <f t="shared" ca="1" si="11"/>
        <v>Sheets("Multi Attributes Input").Range("Pre-Walk").Value = Sheets("Standards Input").Range("C53").Value</v>
      </c>
      <c r="AD29" t="str">
        <f t="shared" ca="1" si="12"/>
        <v>Sheets("Master Data").Range("V$" &amp; RowNo).Value = Sheets("Multi Attributes Input").Range("Pre-Walk").Value</v>
      </c>
      <c r="AV29" t="s">
        <v>410</v>
      </c>
      <c r="BA29" t="str">
        <f t="shared" si="15"/>
        <v>Sheets("Master Data").Range(Launched_MDLoc).Value =     Sheets("Standards Input").Range(Launched_ISLoc).Value</v>
      </c>
    </row>
    <row r="30" spans="1:58" ht="15" x14ac:dyDescent="0.25">
      <c r="A30" s="150">
        <v>23</v>
      </c>
      <c r="B30" s="150" t="str">
        <f t="shared" si="4"/>
        <v>W1</v>
      </c>
      <c r="D30" t="s">
        <v>416</v>
      </c>
      <c r="E30" t="str">
        <f t="shared" ca="1" si="5"/>
        <v>W$</v>
      </c>
      <c r="F30" t="str">
        <f t="shared" ca="1" si="14"/>
        <v/>
      </c>
      <c r="G30" t="s">
        <v>417</v>
      </c>
      <c r="H30" t="s">
        <v>421</v>
      </c>
      <c r="I30" t="str">
        <f t="shared" ca="1" si="6"/>
        <v>C55</v>
      </c>
      <c r="J30" t="str">
        <f t="shared" ca="1" si="7"/>
        <v>Employee Areas</v>
      </c>
      <c r="K30" t="s">
        <v>431</v>
      </c>
      <c r="L30" s="150" t="s">
        <v>423</v>
      </c>
      <c r="M30" s="150" t="s">
        <v>435</v>
      </c>
      <c r="N30" t="str">
        <f t="shared" ca="1" si="8"/>
        <v>Employee Areas</v>
      </c>
      <c r="O30" s="150" t="s">
        <v>412</v>
      </c>
      <c r="P30" s="150" t="s">
        <v>428</v>
      </c>
      <c r="Q30" s="150" t="s">
        <v>399</v>
      </c>
      <c r="R30" t="str">
        <f t="shared" ca="1" si="9"/>
        <v>Sheets("Standards Input").Range("C55").Value</v>
      </c>
      <c r="S30" t="s">
        <v>398</v>
      </c>
      <c r="T30" t="s">
        <v>448</v>
      </c>
      <c r="U30" t="str">
        <f t="shared" ca="1" si="1"/>
        <v>Sheets("Master Data").Range("W$" &amp; RowNo).Value</v>
      </c>
      <c r="V30" t="str">
        <f t="shared" ca="1" si="10"/>
        <v>Sheets("Multi Attributes Input").Range("Employee Areas").Value</v>
      </c>
      <c r="X30" t="str">
        <f t="shared" ca="1" si="2"/>
        <v>Sheets("Master Data").Range("W$" &amp; RowNo).Value = Sheets("Standards Input").Range("C55").Value</v>
      </c>
      <c r="Z30" t="str">
        <f t="shared" ca="1" si="3"/>
        <v>Sheets("Standards Input").Range("C55").Value = Sheets("Master Data").Range("W$" &amp; RowNo).Value</v>
      </c>
      <c r="AB30" t="str">
        <f t="shared" ca="1" si="11"/>
        <v>Sheets("Multi Attributes Input").Range("Employee Areas").Value = Sheets("Standards Input").Range("C55").Value</v>
      </c>
      <c r="AD30" t="str">
        <f t="shared" ca="1" si="12"/>
        <v>Sheets("Master Data").Range("W$" &amp; RowNo).Value = Sheets("Multi Attributes Input").Range("Employee Areas").Value</v>
      </c>
      <c r="AV30" t="s">
        <v>411</v>
      </c>
      <c r="BA30" t="str">
        <f t="shared" si="15"/>
        <v>Sheets("Master Data").Range(Discontinued_MDLoc).Value =     Sheets("Standards Input").Range(Discontinued_ISLoc).Value</v>
      </c>
    </row>
    <row r="31" spans="1:58" ht="15" x14ac:dyDescent="0.25">
      <c r="A31" s="150">
        <v>24</v>
      </c>
      <c r="B31" s="150" t="str">
        <f t="shared" si="4"/>
        <v>X1</v>
      </c>
      <c r="D31" t="s">
        <v>416</v>
      </c>
      <c r="E31" t="str">
        <f t="shared" ca="1" si="5"/>
        <v>X$</v>
      </c>
      <c r="F31" t="str">
        <f t="shared" ca="1" si="14"/>
        <v/>
      </c>
      <c r="G31" t="s">
        <v>417</v>
      </c>
      <c r="H31" t="s">
        <v>421</v>
      </c>
      <c r="I31" t="str">
        <f t="shared" ca="1" si="6"/>
        <v>C57</v>
      </c>
      <c r="J31" t="str">
        <f t="shared" ca="1" si="7"/>
        <v>Back Office</v>
      </c>
      <c r="K31" t="s">
        <v>431</v>
      </c>
      <c r="L31" s="150" t="s">
        <v>423</v>
      </c>
      <c r="M31" s="150" t="s">
        <v>435</v>
      </c>
      <c r="N31" t="str">
        <f t="shared" ca="1" si="8"/>
        <v>Back Office</v>
      </c>
      <c r="O31" s="150" t="s">
        <v>412</v>
      </c>
      <c r="P31" s="150" t="s">
        <v>428</v>
      </c>
      <c r="Q31" s="150" t="s">
        <v>399</v>
      </c>
      <c r="R31" t="str">
        <f t="shared" ca="1" si="9"/>
        <v>Sheets("Standards Input").Range("C57").Value</v>
      </c>
      <c r="S31" t="s">
        <v>398</v>
      </c>
      <c r="T31" t="s">
        <v>448</v>
      </c>
      <c r="U31" t="str">
        <f t="shared" ca="1" si="1"/>
        <v>Sheets("Master Data").Range("X$" &amp; RowNo).Value</v>
      </c>
      <c r="V31" t="str">
        <f t="shared" ca="1" si="10"/>
        <v>Sheets("Multi Attributes Input").Range("Back Office").Value</v>
      </c>
      <c r="X31" t="str">
        <f t="shared" ca="1" si="2"/>
        <v>Sheets("Master Data").Range("X$" &amp; RowNo).Value = Sheets("Standards Input").Range("C57").Value</v>
      </c>
      <c r="Z31" t="str">
        <f t="shared" ca="1" si="3"/>
        <v>Sheets("Standards Input").Range("C57").Value = Sheets("Master Data").Range("X$" &amp; RowNo).Value</v>
      </c>
      <c r="AB31" t="str">
        <f t="shared" ca="1" si="11"/>
        <v>Sheets("Multi Attributes Input").Range("Back Office").Value = Sheets("Standards Input").Range("C57").Value</v>
      </c>
      <c r="AD31" t="str">
        <f t="shared" ca="1" si="12"/>
        <v>Sheets("Master Data").Range("X$" &amp; RowNo).Value = Sheets("Multi Attributes Input").Range("Back Office").Value</v>
      </c>
    </row>
    <row r="32" spans="1:58" ht="15" x14ac:dyDescent="0.25">
      <c r="A32" s="150">
        <v>25</v>
      </c>
      <c r="B32" s="150" t="str">
        <f t="shared" si="4"/>
        <v>Y1</v>
      </c>
      <c r="D32" t="s">
        <v>416</v>
      </c>
      <c r="E32" t="str">
        <f t="shared" ca="1" si="5"/>
        <v>Y$</v>
      </c>
      <c r="F32" t="str">
        <f t="shared" ca="1" si="14"/>
        <v/>
      </c>
      <c r="G32" t="s">
        <v>417</v>
      </c>
      <c r="H32" t="s">
        <v>421</v>
      </c>
      <c r="I32" t="str">
        <f t="shared" ca="1" si="6"/>
        <v>C59</v>
      </c>
      <c r="J32" t="str">
        <f t="shared" ca="1" si="7"/>
        <v>Break Room/Canteen</v>
      </c>
      <c r="K32" t="s">
        <v>431</v>
      </c>
      <c r="L32" s="150" t="s">
        <v>423</v>
      </c>
      <c r="M32" s="150" t="s">
        <v>435</v>
      </c>
      <c r="N32" t="str">
        <f t="shared" ca="1" si="8"/>
        <v>Break Room/Canteen</v>
      </c>
      <c r="O32" s="150" t="s">
        <v>412</v>
      </c>
      <c r="P32" s="150" t="s">
        <v>428</v>
      </c>
      <c r="Q32" s="150" t="s">
        <v>399</v>
      </c>
      <c r="R32" t="str">
        <f t="shared" ca="1" si="9"/>
        <v>Sheets("Standards Input").Range("C59").Value</v>
      </c>
      <c r="S32" t="s">
        <v>398</v>
      </c>
      <c r="T32" t="s">
        <v>448</v>
      </c>
      <c r="U32" t="str">
        <f t="shared" ca="1" si="1"/>
        <v>Sheets("Master Data").Range("Y$" &amp; RowNo).Value</v>
      </c>
      <c r="V32" t="str">
        <f t="shared" ca="1" si="10"/>
        <v>Sheets("Multi Attributes Input").Range("Break Room/Canteen").Value</v>
      </c>
      <c r="X32" t="str">
        <f t="shared" ca="1" si="2"/>
        <v>Sheets("Master Data").Range("Y$" &amp; RowNo).Value = Sheets("Standards Input").Range("C59").Value</v>
      </c>
      <c r="Z32" t="str">
        <f t="shared" ca="1" si="3"/>
        <v>Sheets("Standards Input").Range("C59").Value = Sheets("Master Data").Range("Y$" &amp; RowNo).Value</v>
      </c>
      <c r="AB32" t="str">
        <f t="shared" ca="1" si="11"/>
        <v>Sheets("Multi Attributes Input").Range("Break Room/Canteen").Value = Sheets("Standards Input").Range("C59").Value</v>
      </c>
      <c r="AD32" t="str">
        <f t="shared" ca="1" si="12"/>
        <v>Sheets("Master Data").Range("Y$" &amp; RowNo).Value = Sheets("Multi Attributes Input").Range("Break Room/Canteen").Value</v>
      </c>
    </row>
    <row r="33" spans="1:30" ht="15" x14ac:dyDescent="0.25">
      <c r="A33" s="150">
        <v>26</v>
      </c>
      <c r="B33" s="150" t="str">
        <f t="shared" si="4"/>
        <v>Z1</v>
      </c>
      <c r="D33" t="s">
        <v>416</v>
      </c>
      <c r="E33" t="str">
        <f t="shared" ca="1" si="5"/>
        <v>Z$</v>
      </c>
      <c r="F33" t="str">
        <f t="shared" ca="1" si="14"/>
        <v/>
      </c>
      <c r="G33" t="s">
        <v>417</v>
      </c>
      <c r="H33" t="s">
        <v>421</v>
      </c>
      <c r="I33" t="str">
        <f t="shared" ca="1" si="6"/>
        <v>C61</v>
      </c>
      <c r="J33" t="str">
        <f t="shared" ca="1" si="7"/>
        <v>Housekeeping/Laundry</v>
      </c>
      <c r="K33" t="s">
        <v>431</v>
      </c>
      <c r="L33" s="150" t="s">
        <v>423</v>
      </c>
      <c r="M33" s="150" t="s">
        <v>435</v>
      </c>
      <c r="N33" t="str">
        <f t="shared" ca="1" si="8"/>
        <v>Housekeeping/Laundry</v>
      </c>
      <c r="O33" s="150" t="s">
        <v>412</v>
      </c>
      <c r="P33" s="150" t="s">
        <v>428</v>
      </c>
      <c r="Q33" s="150" t="s">
        <v>399</v>
      </c>
      <c r="R33" t="str">
        <f t="shared" ca="1" si="9"/>
        <v>Sheets("Standards Input").Range("C61").Value</v>
      </c>
      <c r="S33" t="s">
        <v>398</v>
      </c>
      <c r="T33" t="s">
        <v>448</v>
      </c>
      <c r="U33" t="str">
        <f t="shared" ca="1" si="1"/>
        <v>Sheets("Master Data").Range("Z$" &amp; RowNo).Value</v>
      </c>
      <c r="V33" t="str">
        <f t="shared" ca="1" si="10"/>
        <v>Sheets("Multi Attributes Input").Range("Housekeeping/Laundry").Value</v>
      </c>
      <c r="X33" t="str">
        <f t="shared" ca="1" si="2"/>
        <v>Sheets("Master Data").Range("Z$" &amp; RowNo).Value = Sheets("Standards Input").Range("C61").Value</v>
      </c>
      <c r="Z33" t="str">
        <f t="shared" ca="1" si="3"/>
        <v>Sheets("Standards Input").Range("C61").Value = Sheets("Master Data").Range("Z$" &amp; RowNo).Value</v>
      </c>
      <c r="AB33" t="str">
        <f t="shared" ca="1" si="11"/>
        <v>Sheets("Multi Attributes Input").Range("Housekeeping/Laundry").Value = Sheets("Standards Input").Range("C61").Value</v>
      </c>
      <c r="AD33" t="str">
        <f t="shared" ca="1" si="12"/>
        <v>Sheets("Master Data").Range("Z$" &amp; RowNo).Value = Sheets("Multi Attributes Input").Range("Housekeeping/Laundry").Value</v>
      </c>
    </row>
    <row r="34" spans="1:30" ht="15" x14ac:dyDescent="0.25">
      <c r="A34" s="150">
        <v>27</v>
      </c>
      <c r="B34" s="150" t="str">
        <f t="shared" si="4"/>
        <v>AA1</v>
      </c>
      <c r="D34" t="s">
        <v>416</v>
      </c>
      <c r="E34" t="str">
        <f t="shared" ca="1" si="5"/>
        <v>AA</v>
      </c>
      <c r="F34" t="str">
        <f t="shared" ca="1" si="14"/>
        <v/>
      </c>
      <c r="G34" t="s">
        <v>417</v>
      </c>
      <c r="H34" t="s">
        <v>421</v>
      </c>
      <c r="I34" t="str">
        <f t="shared" ca="1" si="6"/>
        <v>C63</v>
      </c>
      <c r="J34" t="str">
        <f t="shared" ca="1" si="7"/>
        <v>Kitchen/Pantry</v>
      </c>
      <c r="K34" t="s">
        <v>431</v>
      </c>
      <c r="L34" s="150" t="s">
        <v>423</v>
      </c>
      <c r="M34" s="150" t="s">
        <v>435</v>
      </c>
      <c r="N34" t="str">
        <f t="shared" ca="1" si="8"/>
        <v>Kitchen/Pantry</v>
      </c>
      <c r="O34" s="150" t="s">
        <v>412</v>
      </c>
      <c r="P34" s="150" t="s">
        <v>428</v>
      </c>
      <c r="Q34" s="150" t="s">
        <v>399</v>
      </c>
      <c r="R34" t="str">
        <f t="shared" ca="1" si="9"/>
        <v>Sheets("Standards Input").Range("C63").Value</v>
      </c>
      <c r="S34" t="s">
        <v>398</v>
      </c>
      <c r="T34" t="s">
        <v>448</v>
      </c>
      <c r="U34" t="str">
        <f t="shared" ca="1" si="1"/>
        <v>Sheets("Master Data").Range("AA" &amp; RowNo).Value</v>
      </c>
      <c r="V34" t="str">
        <f t="shared" ca="1" si="10"/>
        <v>Sheets("Multi Attributes Input").Range("Kitchen/Pantry").Value</v>
      </c>
      <c r="X34" t="str">
        <f t="shared" ca="1" si="2"/>
        <v>Sheets("Master Data").Range("AA" &amp; RowNo).Value = Sheets("Standards Input").Range("C63").Value</v>
      </c>
      <c r="Z34" t="str">
        <f t="shared" ca="1" si="3"/>
        <v>Sheets("Standards Input").Range("C63").Value = Sheets("Master Data").Range("AA" &amp; RowNo).Value</v>
      </c>
      <c r="AB34" t="str">
        <f t="shared" ca="1" si="11"/>
        <v>Sheets("Multi Attributes Input").Range("Kitchen/Pantry").Value = Sheets("Standards Input").Range("C63").Value</v>
      </c>
      <c r="AD34" t="str">
        <f t="shared" ca="1" si="12"/>
        <v>Sheets("Master Data").Range("AA" &amp; RowNo).Value = Sheets("Multi Attributes Input").Range("Kitchen/Pantry").Value</v>
      </c>
    </row>
    <row r="35" spans="1:30" ht="15" x14ac:dyDescent="0.25">
      <c r="A35" s="150">
        <v>28</v>
      </c>
      <c r="B35" s="150" t="str">
        <f t="shared" si="4"/>
        <v>AB1</v>
      </c>
      <c r="D35" t="s">
        <v>416</v>
      </c>
      <c r="E35" t="str">
        <f t="shared" ca="1" si="5"/>
        <v>AB</v>
      </c>
      <c r="F35" t="str">
        <f t="shared" ca="1" si="14"/>
        <v/>
      </c>
      <c r="G35" t="s">
        <v>417</v>
      </c>
      <c r="H35" t="s">
        <v>421</v>
      </c>
      <c r="I35" t="str">
        <f t="shared" ca="1" si="6"/>
        <v>C65</v>
      </c>
      <c r="J35" t="str">
        <f t="shared" ca="1" si="7"/>
        <v>Lockers/Restroom</v>
      </c>
      <c r="K35" t="s">
        <v>431</v>
      </c>
      <c r="L35" s="150" t="s">
        <v>423</v>
      </c>
      <c r="M35" s="150" t="s">
        <v>435</v>
      </c>
      <c r="N35" t="str">
        <f t="shared" ca="1" si="8"/>
        <v>Lockers/Restroom</v>
      </c>
      <c r="O35" s="150" t="s">
        <v>412</v>
      </c>
      <c r="P35" s="150" t="s">
        <v>428</v>
      </c>
      <c r="Q35" s="150" t="s">
        <v>399</v>
      </c>
      <c r="R35" t="str">
        <f t="shared" ca="1" si="9"/>
        <v>Sheets("Standards Input").Range("C65").Value</v>
      </c>
      <c r="S35" t="s">
        <v>398</v>
      </c>
      <c r="T35" t="s">
        <v>448</v>
      </c>
      <c r="U35" t="str">
        <f t="shared" ca="1" si="1"/>
        <v>Sheets("Master Data").Range("AB" &amp; RowNo).Value</v>
      </c>
      <c r="V35" t="str">
        <f t="shared" ca="1" si="10"/>
        <v>Sheets("Multi Attributes Input").Range("Lockers/Restroom").Value</v>
      </c>
      <c r="X35" t="str">
        <f t="shared" ca="1" si="2"/>
        <v>Sheets("Master Data").Range("AB" &amp; RowNo).Value = Sheets("Standards Input").Range("C65").Value</v>
      </c>
      <c r="Z35" t="str">
        <f t="shared" ca="1" si="3"/>
        <v>Sheets("Standards Input").Range("C65").Value = Sheets("Master Data").Range("AB" &amp; RowNo).Value</v>
      </c>
      <c r="AB35" t="str">
        <f t="shared" ca="1" si="11"/>
        <v>Sheets("Multi Attributes Input").Range("Lockers/Restroom").Value = Sheets("Standards Input").Range("C65").Value</v>
      </c>
      <c r="AD35" t="str">
        <f t="shared" ca="1" si="12"/>
        <v>Sheets("Master Data").Range("AB" &amp; RowNo).Value = Sheets("Multi Attributes Input").Range("Lockers/Restroom").Value</v>
      </c>
    </row>
    <row r="36" spans="1:30" ht="15" x14ac:dyDescent="0.25">
      <c r="A36" s="150">
        <v>29</v>
      </c>
      <c r="B36" s="150" t="str">
        <f t="shared" si="4"/>
        <v>AC1</v>
      </c>
      <c r="D36" t="s">
        <v>416</v>
      </c>
      <c r="E36" t="str">
        <f t="shared" ca="1" si="5"/>
        <v>AC</v>
      </c>
      <c r="F36" t="str">
        <f t="shared" ca="1" si="14"/>
        <v/>
      </c>
      <c r="G36" t="s">
        <v>417</v>
      </c>
      <c r="H36" t="s">
        <v>421</v>
      </c>
      <c r="I36" t="str">
        <f t="shared" ca="1" si="6"/>
        <v>C67</v>
      </c>
      <c r="J36" t="str">
        <f t="shared" ca="1" si="7"/>
        <v>Maintenance Area</v>
      </c>
      <c r="K36" t="s">
        <v>431</v>
      </c>
      <c r="L36" s="150" t="s">
        <v>423</v>
      </c>
      <c r="M36" s="150" t="s">
        <v>435</v>
      </c>
      <c r="N36" t="str">
        <f t="shared" ca="1" si="8"/>
        <v>Maintenance Area</v>
      </c>
      <c r="O36" s="150" t="s">
        <v>412</v>
      </c>
      <c r="P36" s="150" t="s">
        <v>428</v>
      </c>
      <c r="Q36" s="150" t="s">
        <v>399</v>
      </c>
      <c r="R36" t="str">
        <f t="shared" ca="1" si="9"/>
        <v>Sheets("Standards Input").Range("C67").Value</v>
      </c>
      <c r="S36" t="s">
        <v>398</v>
      </c>
      <c r="T36" t="s">
        <v>448</v>
      </c>
      <c r="U36" t="str">
        <f t="shared" ca="1" si="1"/>
        <v>Sheets("Master Data").Range("AC" &amp; RowNo).Value</v>
      </c>
      <c r="V36" t="str">
        <f t="shared" ca="1" si="10"/>
        <v>Sheets("Multi Attributes Input").Range("Maintenance Area").Value</v>
      </c>
      <c r="X36" t="str">
        <f t="shared" ca="1" si="2"/>
        <v>Sheets("Master Data").Range("AC" &amp; RowNo).Value = Sheets("Standards Input").Range("C67").Value</v>
      </c>
      <c r="Z36" t="str">
        <f t="shared" ca="1" si="3"/>
        <v>Sheets("Standards Input").Range("C67").Value = Sheets("Master Data").Range("AC" &amp; RowNo).Value</v>
      </c>
      <c r="AB36" t="str">
        <f t="shared" ca="1" si="11"/>
        <v>Sheets("Multi Attributes Input").Range("Maintenance Area").Value = Sheets("Standards Input").Range("C67").Value</v>
      </c>
      <c r="AD36" t="str">
        <f t="shared" ca="1" si="12"/>
        <v>Sheets("Master Data").Range("AC" &amp; RowNo).Value = Sheets("Multi Attributes Input").Range("Maintenance Area").Value</v>
      </c>
    </row>
    <row r="37" spans="1:30" ht="15" x14ac:dyDescent="0.25">
      <c r="A37" s="150">
        <v>30</v>
      </c>
      <c r="B37" s="150" t="str">
        <f t="shared" si="4"/>
        <v>AD1</v>
      </c>
      <c r="D37" t="s">
        <v>416</v>
      </c>
      <c r="E37" t="str">
        <f t="shared" ca="1" si="5"/>
        <v>AD</v>
      </c>
      <c r="F37" t="str">
        <f t="shared" ca="1" si="14"/>
        <v/>
      </c>
      <c r="G37" t="s">
        <v>417</v>
      </c>
      <c r="H37" t="s">
        <v>421</v>
      </c>
      <c r="I37" t="str">
        <f t="shared" ca="1" si="6"/>
        <v>C69</v>
      </c>
      <c r="J37" t="str">
        <f t="shared" ca="1" si="7"/>
        <v>Storage Area</v>
      </c>
      <c r="K37" t="s">
        <v>431</v>
      </c>
      <c r="L37" s="150" t="s">
        <v>423</v>
      </c>
      <c r="M37" s="150" t="s">
        <v>435</v>
      </c>
      <c r="N37" t="str">
        <f t="shared" ca="1" si="8"/>
        <v>Storage Area</v>
      </c>
      <c r="O37" s="150" t="s">
        <v>412</v>
      </c>
      <c r="P37" s="150" t="s">
        <v>428</v>
      </c>
      <c r="Q37" s="150" t="s">
        <v>399</v>
      </c>
      <c r="R37" t="str">
        <f t="shared" ca="1" si="9"/>
        <v>Sheets("Standards Input").Range("C69").Value</v>
      </c>
      <c r="S37" t="s">
        <v>398</v>
      </c>
      <c r="T37" t="s">
        <v>448</v>
      </c>
      <c r="U37" t="str">
        <f t="shared" ca="1" si="1"/>
        <v>Sheets("Master Data").Range("AD" &amp; RowNo).Value</v>
      </c>
      <c r="V37" t="str">
        <f t="shared" ca="1" si="10"/>
        <v>Sheets("Multi Attributes Input").Range("Storage Area").Value</v>
      </c>
      <c r="X37" t="str">
        <f t="shared" ca="1" si="2"/>
        <v>Sheets("Master Data").Range("AD" &amp; RowNo).Value = Sheets("Standards Input").Range("C69").Value</v>
      </c>
      <c r="Z37" t="str">
        <f t="shared" ca="1" si="3"/>
        <v>Sheets("Standards Input").Range("C69").Value = Sheets("Master Data").Range("AD" &amp; RowNo).Value</v>
      </c>
      <c r="AB37" t="str">
        <f t="shared" ca="1" si="11"/>
        <v>Sheets("Multi Attributes Input").Range("Storage Area").Value = Sheets("Standards Input").Range("C69").Value</v>
      </c>
      <c r="AD37" t="str">
        <f t="shared" ca="1" si="12"/>
        <v>Sheets("Master Data").Range("AD" &amp; RowNo).Value = Sheets("Multi Attributes Input").Range("Storage Area").Value</v>
      </c>
    </row>
    <row r="38" spans="1:30" ht="15" x14ac:dyDescent="0.25">
      <c r="A38" s="150">
        <v>31</v>
      </c>
      <c r="B38" s="150" t="str">
        <f t="shared" si="4"/>
        <v>AE1</v>
      </c>
      <c r="D38" t="s">
        <v>416</v>
      </c>
      <c r="E38" t="str">
        <f t="shared" ca="1" si="5"/>
        <v>AE</v>
      </c>
      <c r="F38" t="str">
        <f t="shared" ca="1" si="14"/>
        <v/>
      </c>
      <c r="G38" t="s">
        <v>417</v>
      </c>
      <c r="H38" t="s">
        <v>421</v>
      </c>
      <c r="I38" t="str">
        <f t="shared" ca="1" si="6"/>
        <v>C71</v>
      </c>
      <c r="J38" t="str">
        <f t="shared" ca="1" si="7"/>
        <v>Service Corridor</v>
      </c>
      <c r="K38" t="s">
        <v>431</v>
      </c>
      <c r="L38" s="150" t="s">
        <v>423</v>
      </c>
      <c r="M38" s="150" t="s">
        <v>435</v>
      </c>
      <c r="N38" t="str">
        <f t="shared" ca="1" si="8"/>
        <v>Service Corridor</v>
      </c>
      <c r="O38" s="150" t="s">
        <v>412</v>
      </c>
      <c r="P38" s="150" t="s">
        <v>428</v>
      </c>
      <c r="Q38" s="150" t="s">
        <v>399</v>
      </c>
      <c r="R38" t="str">
        <f t="shared" ca="1" si="9"/>
        <v>Sheets("Standards Input").Range("C71").Value</v>
      </c>
      <c r="S38" t="s">
        <v>398</v>
      </c>
      <c r="T38" t="s">
        <v>448</v>
      </c>
      <c r="U38" t="str">
        <f t="shared" ca="1" si="1"/>
        <v>Sheets("Master Data").Range("AE" &amp; RowNo).Value</v>
      </c>
      <c r="V38" t="str">
        <f t="shared" ca="1" si="10"/>
        <v>Sheets("Multi Attributes Input").Range("Service Corridor").Value</v>
      </c>
      <c r="X38" t="str">
        <f t="shared" ca="1" si="2"/>
        <v>Sheets("Master Data").Range("AE" &amp; RowNo).Value = Sheets("Standards Input").Range("C71").Value</v>
      </c>
      <c r="Z38" t="str">
        <f t="shared" ca="1" si="3"/>
        <v>Sheets("Standards Input").Range("C71").Value = Sheets("Master Data").Range("AE" &amp; RowNo).Value</v>
      </c>
      <c r="AB38" t="str">
        <f t="shared" ca="1" si="11"/>
        <v>Sheets("Multi Attributes Input").Range("Service Corridor").Value = Sheets("Standards Input").Range("C71").Value</v>
      </c>
      <c r="AD38" t="str">
        <f t="shared" ca="1" si="12"/>
        <v>Sheets("Master Data").Range("AE" &amp; RowNo).Value = Sheets("Multi Attributes Input").Range("Service Corridor").Value</v>
      </c>
    </row>
    <row r="39" spans="1:30" ht="15" x14ac:dyDescent="0.25">
      <c r="A39" s="150">
        <v>32</v>
      </c>
      <c r="B39" s="150" t="str">
        <f t="shared" si="4"/>
        <v>AF1</v>
      </c>
      <c r="D39" t="s">
        <v>416</v>
      </c>
      <c r="E39" t="str">
        <f t="shared" ca="1" si="5"/>
        <v>AF</v>
      </c>
      <c r="F39" t="str">
        <f t="shared" ca="1" si="14"/>
        <v/>
      </c>
      <c r="G39" t="s">
        <v>417</v>
      </c>
      <c r="H39" t="s">
        <v>421</v>
      </c>
      <c r="I39" t="str">
        <f t="shared" ca="1" si="6"/>
        <v>C73</v>
      </c>
      <c r="J39" t="str">
        <f t="shared" ca="1" si="7"/>
        <v>Exterior</v>
      </c>
      <c r="K39" t="s">
        <v>431</v>
      </c>
      <c r="L39" s="150" t="s">
        <v>423</v>
      </c>
      <c r="M39" s="150" t="s">
        <v>435</v>
      </c>
      <c r="N39" t="str">
        <f t="shared" ca="1" si="8"/>
        <v>Exterior</v>
      </c>
      <c r="O39" s="150" t="s">
        <v>412</v>
      </c>
      <c r="P39" s="150" t="s">
        <v>428</v>
      </c>
      <c r="Q39" s="150" t="s">
        <v>399</v>
      </c>
      <c r="R39" t="str">
        <f t="shared" ca="1" si="9"/>
        <v>Sheets("Standards Input").Range("C73").Value</v>
      </c>
      <c r="S39" t="s">
        <v>398</v>
      </c>
      <c r="T39" t="s">
        <v>448</v>
      </c>
      <c r="U39" t="str">
        <f t="shared" ca="1" si="1"/>
        <v>Sheets("Master Data").Range("AF" &amp; RowNo).Value</v>
      </c>
      <c r="V39" t="str">
        <f t="shared" ca="1" si="10"/>
        <v>Sheets("Multi Attributes Input").Range("Exterior").Value</v>
      </c>
      <c r="X39" t="str">
        <f t="shared" ca="1" si="2"/>
        <v>Sheets("Master Data").Range("AF" &amp; RowNo).Value = Sheets("Standards Input").Range("C73").Value</v>
      </c>
      <c r="Z39" t="str">
        <f t="shared" ca="1" si="3"/>
        <v>Sheets("Standards Input").Range("C73").Value = Sheets("Master Data").Range("AF" &amp; RowNo).Value</v>
      </c>
      <c r="AB39" t="str">
        <f t="shared" ca="1" si="11"/>
        <v>Sheets("Multi Attributes Input").Range("Exterior").Value = Sheets("Standards Input").Range("C73").Value</v>
      </c>
      <c r="AD39" t="str">
        <f t="shared" ca="1" si="12"/>
        <v>Sheets("Master Data").Range("AF" &amp; RowNo).Value = Sheets("Multi Attributes Input").Range("Exterior").Value</v>
      </c>
    </row>
    <row r="40" spans="1:30" ht="15" x14ac:dyDescent="0.25">
      <c r="A40" s="150">
        <v>33</v>
      </c>
      <c r="B40" s="150" t="str">
        <f t="shared" si="4"/>
        <v>AG1</v>
      </c>
      <c r="D40" t="s">
        <v>416</v>
      </c>
      <c r="E40" t="str">
        <f t="shared" ca="1" si="5"/>
        <v>AG</v>
      </c>
      <c r="F40" t="str">
        <f t="shared" ca="1" si="14"/>
        <v/>
      </c>
      <c r="G40" t="s">
        <v>417</v>
      </c>
      <c r="H40" t="s">
        <v>421</v>
      </c>
      <c r="I40" t="str">
        <f t="shared" ca="1" si="6"/>
        <v>C75</v>
      </c>
      <c r="J40" t="str">
        <f t="shared" ca="1" si="7"/>
        <v>BBQ</v>
      </c>
      <c r="K40" t="s">
        <v>431</v>
      </c>
      <c r="L40" s="150" t="s">
        <v>423</v>
      </c>
      <c r="M40" s="150" t="s">
        <v>435</v>
      </c>
      <c r="N40" t="str">
        <f t="shared" ca="1" si="8"/>
        <v>BBQ</v>
      </c>
      <c r="O40" s="150" t="s">
        <v>412</v>
      </c>
      <c r="P40" s="150" t="s">
        <v>428</v>
      </c>
      <c r="Q40" s="150" t="s">
        <v>399</v>
      </c>
      <c r="R40" t="str">
        <f t="shared" ca="1" si="9"/>
        <v>Sheets("Standards Input").Range("C75").Value</v>
      </c>
      <c r="S40" t="s">
        <v>398</v>
      </c>
      <c r="T40" t="s">
        <v>448</v>
      </c>
      <c r="U40" t="str">
        <f t="shared" ca="1" si="1"/>
        <v>Sheets("Master Data").Range("AG" &amp; RowNo).Value</v>
      </c>
      <c r="V40" t="str">
        <f t="shared" ca="1" si="10"/>
        <v>Sheets("Multi Attributes Input").Range("BBQ").Value</v>
      </c>
      <c r="X40" t="str">
        <f t="shared" ca="1" si="2"/>
        <v>Sheets("Master Data").Range("AG" &amp; RowNo).Value = Sheets("Standards Input").Range("C75").Value</v>
      </c>
      <c r="Z40" t="str">
        <f t="shared" ca="1" si="3"/>
        <v>Sheets("Standards Input").Range("C75").Value = Sheets("Master Data").Range("AG" &amp; RowNo).Value</v>
      </c>
      <c r="AB40" t="str">
        <f t="shared" ca="1" si="11"/>
        <v>Sheets("Multi Attributes Input").Range("BBQ").Value = Sheets("Standards Input").Range("C75").Value</v>
      </c>
      <c r="AD40" t="str">
        <f t="shared" ca="1" si="12"/>
        <v>Sheets("Master Data").Range("AG" &amp; RowNo).Value = Sheets("Multi Attributes Input").Range("BBQ").Value</v>
      </c>
    </row>
    <row r="41" spans="1:30" ht="15" x14ac:dyDescent="0.25">
      <c r="A41" s="150">
        <v>34</v>
      </c>
      <c r="B41" s="150" t="str">
        <f t="shared" si="4"/>
        <v>AH1</v>
      </c>
      <c r="D41" t="s">
        <v>416</v>
      </c>
      <c r="E41" t="str">
        <f t="shared" ca="1" si="5"/>
        <v>AH</v>
      </c>
      <c r="F41" t="str">
        <f t="shared" ca="1" si="14"/>
        <v/>
      </c>
      <c r="G41" t="s">
        <v>417</v>
      </c>
      <c r="H41" t="s">
        <v>421</v>
      </c>
      <c r="I41" t="str">
        <f t="shared" ca="1" si="6"/>
        <v>C77</v>
      </c>
      <c r="J41" t="str">
        <f t="shared" ca="1" si="7"/>
        <v>Building/Façade</v>
      </c>
      <c r="K41" t="s">
        <v>431</v>
      </c>
      <c r="L41" s="150" t="s">
        <v>423</v>
      </c>
      <c r="M41" s="150" t="s">
        <v>435</v>
      </c>
      <c r="N41" t="str">
        <f t="shared" ca="1" si="8"/>
        <v>Building/Façade</v>
      </c>
      <c r="O41" s="150" t="s">
        <v>412</v>
      </c>
      <c r="P41" s="150" t="s">
        <v>428</v>
      </c>
      <c r="Q41" s="150" t="s">
        <v>399</v>
      </c>
      <c r="R41" t="str">
        <f t="shared" ca="1" si="9"/>
        <v>Sheets("Standards Input").Range("C77").Value</v>
      </c>
      <c r="S41" t="s">
        <v>398</v>
      </c>
      <c r="T41" t="s">
        <v>448</v>
      </c>
      <c r="U41" t="str">
        <f t="shared" ca="1" si="1"/>
        <v>Sheets("Master Data").Range("AH" &amp; RowNo).Value</v>
      </c>
      <c r="V41" t="str">
        <f t="shared" ca="1" si="10"/>
        <v>Sheets("Multi Attributes Input").Range("Building/Façade").Value</v>
      </c>
      <c r="X41" t="str">
        <f t="shared" ca="1" si="2"/>
        <v>Sheets("Master Data").Range("AH" &amp; RowNo).Value = Sheets("Standards Input").Range("C77").Value</v>
      </c>
      <c r="Z41" t="str">
        <f t="shared" ca="1" si="3"/>
        <v>Sheets("Standards Input").Range("C77").Value = Sheets("Master Data").Range("AH" &amp; RowNo).Value</v>
      </c>
      <c r="AB41" t="str">
        <f t="shared" ca="1" si="11"/>
        <v>Sheets("Multi Attributes Input").Range("Building/Façade").Value = Sheets("Standards Input").Range("C77").Value</v>
      </c>
      <c r="AD41" t="str">
        <f t="shared" ca="1" si="12"/>
        <v>Sheets("Master Data").Range("AH" &amp; RowNo).Value = Sheets("Multi Attributes Input").Range("Building/Façade").Value</v>
      </c>
    </row>
    <row r="42" spans="1:30" ht="15" x14ac:dyDescent="0.25">
      <c r="A42" s="150">
        <v>35</v>
      </c>
      <c r="B42" s="150" t="str">
        <f t="shared" si="4"/>
        <v>AI1</v>
      </c>
      <c r="D42" t="s">
        <v>416</v>
      </c>
      <c r="E42" t="str">
        <f t="shared" ca="1" si="5"/>
        <v>AI</v>
      </c>
      <c r="F42" t="str">
        <f t="shared" ca="1" si="14"/>
        <v/>
      </c>
      <c r="G42" t="s">
        <v>417</v>
      </c>
      <c r="H42" t="s">
        <v>421</v>
      </c>
      <c r="I42" t="str">
        <f t="shared" ca="1" si="6"/>
        <v>C79</v>
      </c>
      <c r="J42" t="str">
        <f t="shared" ca="1" si="7"/>
        <v>Grounds &amp; Landscaping</v>
      </c>
      <c r="K42" t="s">
        <v>431</v>
      </c>
      <c r="L42" s="150" t="s">
        <v>423</v>
      </c>
      <c r="M42" s="150" t="s">
        <v>435</v>
      </c>
      <c r="N42" t="str">
        <f t="shared" ca="1" si="8"/>
        <v>Grounds &amp; Landscaping</v>
      </c>
      <c r="O42" s="150" t="s">
        <v>412</v>
      </c>
      <c r="P42" s="150" t="s">
        <v>428</v>
      </c>
      <c r="Q42" s="150" t="s">
        <v>399</v>
      </c>
      <c r="R42" t="str">
        <f t="shared" ca="1" si="9"/>
        <v>Sheets("Standards Input").Range("C79").Value</v>
      </c>
      <c r="S42" t="s">
        <v>398</v>
      </c>
      <c r="T42" t="s">
        <v>448</v>
      </c>
      <c r="U42" t="str">
        <f t="shared" ca="1" si="1"/>
        <v>Sheets("Master Data").Range("AI" &amp; RowNo).Value</v>
      </c>
      <c r="V42" t="str">
        <f t="shared" ca="1" si="10"/>
        <v>Sheets("Multi Attributes Input").Range("Grounds &amp; Landscaping").Value</v>
      </c>
      <c r="X42" t="str">
        <f t="shared" ca="1" si="2"/>
        <v>Sheets("Master Data").Range("AI" &amp; RowNo).Value = Sheets("Standards Input").Range("C79").Value</v>
      </c>
      <c r="Z42" t="str">
        <f t="shared" ca="1" si="3"/>
        <v>Sheets("Standards Input").Range("C79").Value = Sheets("Master Data").Range("AI" &amp; RowNo).Value</v>
      </c>
      <c r="AB42" t="str">
        <f t="shared" ca="1" si="11"/>
        <v>Sheets("Multi Attributes Input").Range("Grounds &amp; Landscaping").Value = Sheets("Standards Input").Range("C79").Value</v>
      </c>
      <c r="AD42" t="str">
        <f t="shared" ca="1" si="12"/>
        <v>Sheets("Master Data").Range("AI" &amp; RowNo).Value = Sheets("Multi Attributes Input").Range("Grounds &amp; Landscaping").Value</v>
      </c>
    </row>
    <row r="43" spans="1:30" ht="15" x14ac:dyDescent="0.25">
      <c r="A43" s="150">
        <v>36</v>
      </c>
      <c r="B43" s="150" t="str">
        <f t="shared" si="4"/>
        <v>AJ1</v>
      </c>
      <c r="D43" t="s">
        <v>416</v>
      </c>
      <c r="E43" t="str">
        <f t="shared" ca="1" si="5"/>
        <v>AJ</v>
      </c>
      <c r="F43" t="str">
        <f t="shared" ca="1" si="14"/>
        <v/>
      </c>
      <c r="G43" t="s">
        <v>417</v>
      </c>
      <c r="H43" t="s">
        <v>421</v>
      </c>
      <c r="I43" t="str">
        <f t="shared" ca="1" si="6"/>
        <v>C81</v>
      </c>
      <c r="J43" t="str">
        <f t="shared" ca="1" si="7"/>
        <v>Parking Area</v>
      </c>
      <c r="K43" t="s">
        <v>431</v>
      </c>
      <c r="L43" s="150" t="s">
        <v>423</v>
      </c>
      <c r="M43" s="150" t="s">
        <v>435</v>
      </c>
      <c r="N43" t="str">
        <f t="shared" ca="1" si="8"/>
        <v>Parking Area</v>
      </c>
      <c r="O43" s="150" t="s">
        <v>412</v>
      </c>
      <c r="P43" s="150" t="s">
        <v>428</v>
      </c>
      <c r="Q43" s="150" t="s">
        <v>399</v>
      </c>
      <c r="R43" t="str">
        <f t="shared" ca="1" si="9"/>
        <v>Sheets("Standards Input").Range("C81").Value</v>
      </c>
      <c r="S43" t="s">
        <v>398</v>
      </c>
      <c r="T43" t="s">
        <v>448</v>
      </c>
      <c r="U43" t="str">
        <f t="shared" ca="1" si="1"/>
        <v>Sheets("Master Data").Range("AJ" &amp; RowNo).Value</v>
      </c>
      <c r="V43" t="str">
        <f t="shared" ca="1" si="10"/>
        <v>Sheets("Multi Attributes Input").Range("Parking Area").Value</v>
      </c>
      <c r="X43" t="str">
        <f t="shared" ca="1" si="2"/>
        <v>Sheets("Master Data").Range("AJ" &amp; RowNo).Value = Sheets("Standards Input").Range("C81").Value</v>
      </c>
      <c r="Z43" t="str">
        <f t="shared" ca="1" si="3"/>
        <v>Sheets("Standards Input").Range("C81").Value = Sheets("Master Data").Range("AJ" &amp; RowNo).Value</v>
      </c>
      <c r="AB43" t="str">
        <f t="shared" ca="1" si="11"/>
        <v>Sheets("Multi Attributes Input").Range("Parking Area").Value = Sheets("Standards Input").Range("C81").Value</v>
      </c>
      <c r="AD43" t="str">
        <f t="shared" ca="1" si="12"/>
        <v>Sheets("Master Data").Range("AJ" &amp; RowNo).Value = Sheets("Multi Attributes Input").Range("Parking Area").Value</v>
      </c>
    </row>
    <row r="44" spans="1:30" ht="15" x14ac:dyDescent="0.25">
      <c r="A44" s="150">
        <v>37</v>
      </c>
      <c r="B44" s="150" t="str">
        <f t="shared" si="4"/>
        <v>AK1</v>
      </c>
      <c r="D44" t="s">
        <v>416</v>
      </c>
      <c r="E44" t="str">
        <f t="shared" ca="1" si="5"/>
        <v>AK</v>
      </c>
      <c r="F44" t="str">
        <f t="shared" ca="1" si="14"/>
        <v/>
      </c>
      <c r="G44" t="s">
        <v>417</v>
      </c>
      <c r="H44" t="s">
        <v>421</v>
      </c>
      <c r="I44" t="str">
        <f t="shared" ca="1" si="6"/>
        <v>C83</v>
      </c>
      <c r="J44" t="str">
        <f t="shared" ca="1" si="7"/>
        <v>Porte Cochere/Canopy</v>
      </c>
      <c r="K44" t="s">
        <v>431</v>
      </c>
      <c r="L44" s="150" t="s">
        <v>423</v>
      </c>
      <c r="M44" s="150" t="s">
        <v>435</v>
      </c>
      <c r="N44" t="str">
        <f t="shared" ca="1" si="8"/>
        <v>Porte Cochere/Canopy</v>
      </c>
      <c r="O44" s="150" t="s">
        <v>412</v>
      </c>
      <c r="P44" s="150" t="s">
        <v>428</v>
      </c>
      <c r="Q44" s="150" t="s">
        <v>399</v>
      </c>
      <c r="R44" t="str">
        <f t="shared" ca="1" si="9"/>
        <v>Sheets("Standards Input").Range("C83").Value</v>
      </c>
      <c r="S44" t="s">
        <v>398</v>
      </c>
      <c r="T44" t="s">
        <v>448</v>
      </c>
      <c r="U44" t="str">
        <f t="shared" ca="1" si="1"/>
        <v>Sheets("Master Data").Range("AK" &amp; RowNo).Value</v>
      </c>
      <c r="V44" t="str">
        <f t="shared" ca="1" si="10"/>
        <v>Sheets("Multi Attributes Input").Range("Porte Cochere/Canopy").Value</v>
      </c>
      <c r="X44" t="str">
        <f t="shared" ca="1" si="2"/>
        <v>Sheets("Master Data").Range("AK" &amp; RowNo).Value = Sheets("Standards Input").Range("C83").Value</v>
      </c>
      <c r="Z44" t="str">
        <f t="shared" ca="1" si="3"/>
        <v>Sheets("Standards Input").Range("C83").Value = Sheets("Master Data").Range("AK" &amp; RowNo).Value</v>
      </c>
      <c r="AB44" t="str">
        <f t="shared" ca="1" si="11"/>
        <v>Sheets("Multi Attributes Input").Range("Porte Cochere/Canopy").Value = Sheets("Standards Input").Range("C83").Value</v>
      </c>
      <c r="AD44" t="str">
        <f t="shared" ca="1" si="12"/>
        <v>Sheets("Master Data").Range("AK" &amp; RowNo).Value = Sheets("Multi Attributes Input").Range("Porte Cochere/Canopy").Value</v>
      </c>
    </row>
    <row r="45" spans="1:30" ht="15" x14ac:dyDescent="0.25">
      <c r="A45" s="150">
        <v>38</v>
      </c>
      <c r="B45" s="150" t="str">
        <f t="shared" si="4"/>
        <v>AL1</v>
      </c>
      <c r="D45" t="s">
        <v>416</v>
      </c>
      <c r="E45" t="str">
        <f t="shared" ca="1" si="5"/>
        <v>AL</v>
      </c>
      <c r="F45" t="str">
        <f t="shared" ca="1" si="14"/>
        <v/>
      </c>
      <c r="G45" t="s">
        <v>417</v>
      </c>
      <c r="H45" t="s">
        <v>421</v>
      </c>
      <c r="I45" t="str">
        <f t="shared" ca="1" si="6"/>
        <v>C85</v>
      </c>
      <c r="J45" t="str">
        <f t="shared" ca="1" si="7"/>
        <v>Sidewalks/Walkways</v>
      </c>
      <c r="K45" t="s">
        <v>431</v>
      </c>
      <c r="L45" s="150" t="s">
        <v>423</v>
      </c>
      <c r="M45" s="150" t="s">
        <v>435</v>
      </c>
      <c r="N45" t="str">
        <f t="shared" ca="1" si="8"/>
        <v>Sidewalks/Walkways</v>
      </c>
      <c r="O45" s="150" t="s">
        <v>412</v>
      </c>
      <c r="P45" s="150" t="s">
        <v>428</v>
      </c>
      <c r="Q45" s="150" t="s">
        <v>399</v>
      </c>
      <c r="R45" t="str">
        <f t="shared" ca="1" si="9"/>
        <v>Sheets("Standards Input").Range("C85").Value</v>
      </c>
      <c r="S45" t="s">
        <v>398</v>
      </c>
      <c r="T45" t="s">
        <v>448</v>
      </c>
      <c r="U45" t="str">
        <f t="shared" ca="1" si="1"/>
        <v>Sheets("Master Data").Range("AL" &amp; RowNo).Value</v>
      </c>
      <c r="V45" t="str">
        <f t="shared" ca="1" si="10"/>
        <v>Sheets("Multi Attributes Input").Range("Sidewalks/Walkways").Value</v>
      </c>
      <c r="X45" t="str">
        <f t="shared" ca="1" si="2"/>
        <v>Sheets("Master Data").Range("AL" &amp; RowNo).Value = Sheets("Standards Input").Range("C85").Value</v>
      </c>
      <c r="Z45" t="str">
        <f t="shared" ca="1" si="3"/>
        <v>Sheets("Standards Input").Range("C85").Value = Sheets("Master Data").Range("AL" &amp; RowNo).Value</v>
      </c>
      <c r="AB45" t="str">
        <f t="shared" ca="1" si="11"/>
        <v>Sheets("Multi Attributes Input").Range("Sidewalks/Walkways").Value = Sheets("Standards Input").Range("C85").Value</v>
      </c>
      <c r="AD45" t="str">
        <f t="shared" ca="1" si="12"/>
        <v>Sheets("Master Data").Range("AL" &amp; RowNo).Value = Sheets("Multi Attributes Input").Range("Sidewalks/Walkways").Value</v>
      </c>
    </row>
    <row r="46" spans="1:30" ht="15" x14ac:dyDescent="0.25">
      <c r="A46" s="150">
        <v>39</v>
      </c>
      <c r="B46" s="150" t="str">
        <f t="shared" si="4"/>
        <v>AM1</v>
      </c>
      <c r="D46" t="s">
        <v>416</v>
      </c>
      <c r="E46" t="str">
        <f t="shared" ca="1" si="5"/>
        <v>AM</v>
      </c>
      <c r="F46" t="str">
        <f t="shared" ca="1" si="14"/>
        <v/>
      </c>
      <c r="G46" t="s">
        <v>417</v>
      </c>
      <c r="H46" t="s">
        <v>421</v>
      </c>
      <c r="I46" t="str">
        <f t="shared" ca="1" si="6"/>
        <v>C87</v>
      </c>
      <c r="J46" t="str">
        <f t="shared" ca="1" si="7"/>
        <v>Signage and Flags</v>
      </c>
      <c r="K46" t="s">
        <v>431</v>
      </c>
      <c r="L46" s="150" t="s">
        <v>423</v>
      </c>
      <c r="M46" s="150" t="s">
        <v>435</v>
      </c>
      <c r="N46" t="str">
        <f t="shared" ca="1" si="8"/>
        <v>Signage and Flags</v>
      </c>
      <c r="O46" s="150" t="s">
        <v>412</v>
      </c>
      <c r="P46" s="150" t="s">
        <v>428</v>
      </c>
      <c r="Q46" s="150" t="s">
        <v>399</v>
      </c>
      <c r="R46" t="str">
        <f t="shared" ca="1" si="9"/>
        <v>Sheets("Standards Input").Range("C87").Value</v>
      </c>
      <c r="S46" t="s">
        <v>398</v>
      </c>
      <c r="T46" t="s">
        <v>448</v>
      </c>
      <c r="U46" t="str">
        <f t="shared" ca="1" si="1"/>
        <v>Sheets("Master Data").Range("AM" &amp; RowNo).Value</v>
      </c>
      <c r="V46" t="str">
        <f t="shared" ca="1" si="10"/>
        <v>Sheets("Multi Attributes Input").Range("Signage and Flags").Value</v>
      </c>
      <c r="X46" t="str">
        <f t="shared" ca="1" si="2"/>
        <v>Sheets("Master Data").Range("AM" &amp; RowNo).Value = Sheets("Standards Input").Range("C87").Value</v>
      </c>
      <c r="Z46" t="str">
        <f t="shared" ca="1" si="3"/>
        <v>Sheets("Standards Input").Range("C87").Value = Sheets("Master Data").Range("AM" &amp; RowNo).Value</v>
      </c>
      <c r="AB46" t="str">
        <f t="shared" ca="1" si="11"/>
        <v>Sheets("Multi Attributes Input").Range("Signage and Flags").Value = Sheets("Standards Input").Range("C87").Value</v>
      </c>
      <c r="AD46" t="str">
        <f t="shared" ca="1" si="12"/>
        <v>Sheets("Master Data").Range("AM" &amp; RowNo).Value = Sheets("Multi Attributes Input").Range("Signage and Flags").Value</v>
      </c>
    </row>
    <row r="47" spans="1:30" ht="15" x14ac:dyDescent="0.25">
      <c r="A47" s="150">
        <v>40</v>
      </c>
      <c r="B47" s="150" t="str">
        <f t="shared" si="4"/>
        <v>AN1</v>
      </c>
      <c r="D47" t="s">
        <v>416</v>
      </c>
      <c r="E47" t="str">
        <f t="shared" ca="1" si="5"/>
        <v>AN</v>
      </c>
      <c r="F47" t="str">
        <f t="shared" ca="1" si="14"/>
        <v/>
      </c>
      <c r="G47" t="s">
        <v>417</v>
      </c>
      <c r="H47" t="s">
        <v>421</v>
      </c>
      <c r="I47" t="str">
        <f t="shared" ca="1" si="6"/>
        <v>C89</v>
      </c>
      <c r="J47" t="str">
        <f t="shared" ca="1" si="7"/>
        <v>Stairwells</v>
      </c>
      <c r="K47" t="s">
        <v>431</v>
      </c>
      <c r="L47" s="150" t="s">
        <v>423</v>
      </c>
      <c r="M47" s="150" t="s">
        <v>435</v>
      </c>
      <c r="N47" t="str">
        <f t="shared" ca="1" si="8"/>
        <v>Stairwells</v>
      </c>
      <c r="O47" s="150" t="s">
        <v>412</v>
      </c>
      <c r="P47" s="150" t="s">
        <v>428</v>
      </c>
      <c r="Q47" s="150" t="s">
        <v>399</v>
      </c>
      <c r="R47" t="str">
        <f t="shared" ca="1" si="9"/>
        <v>Sheets("Standards Input").Range("C89").Value</v>
      </c>
      <c r="S47" t="s">
        <v>398</v>
      </c>
      <c r="T47" t="s">
        <v>448</v>
      </c>
      <c r="U47" t="str">
        <f t="shared" ca="1" si="1"/>
        <v>Sheets("Master Data").Range("AN" &amp; RowNo).Value</v>
      </c>
      <c r="V47" t="str">
        <f t="shared" ca="1" si="10"/>
        <v>Sheets("Multi Attributes Input").Range("Stairwells").Value</v>
      </c>
      <c r="X47" t="str">
        <f t="shared" ca="1" si="2"/>
        <v>Sheets("Master Data").Range("AN" &amp; RowNo).Value = Sheets("Standards Input").Range("C89").Value</v>
      </c>
      <c r="Z47" t="str">
        <f t="shared" ca="1" si="3"/>
        <v>Sheets("Standards Input").Range("C89").Value = Sheets("Master Data").Range("AN" &amp; RowNo).Value</v>
      </c>
      <c r="AB47" t="str">
        <f t="shared" ca="1" si="11"/>
        <v>Sheets("Multi Attributes Input").Range("Stairwells").Value = Sheets("Standards Input").Range("C89").Value</v>
      </c>
      <c r="AD47" t="str">
        <f t="shared" ca="1" si="12"/>
        <v>Sheets("Master Data").Range("AN" &amp; RowNo).Value = Sheets("Multi Attributes Input").Range("Stairwells").Value</v>
      </c>
    </row>
    <row r="48" spans="1:30" ht="15" x14ac:dyDescent="0.25">
      <c r="A48" s="150">
        <v>41</v>
      </c>
      <c r="B48" s="150" t="str">
        <f t="shared" si="4"/>
        <v>AO1</v>
      </c>
      <c r="D48" t="s">
        <v>416</v>
      </c>
      <c r="E48" t="str">
        <f t="shared" ca="1" si="5"/>
        <v>AO</v>
      </c>
      <c r="F48" t="str">
        <f t="shared" ca="1" si="14"/>
        <v/>
      </c>
      <c r="G48" t="s">
        <v>417</v>
      </c>
      <c r="H48" t="s">
        <v>421</v>
      </c>
      <c r="I48" t="str">
        <f t="shared" ca="1" si="6"/>
        <v>E53</v>
      </c>
      <c r="J48" t="str">
        <f t="shared" ca="1" si="7"/>
        <v>Food &amp; Beverage</v>
      </c>
      <c r="K48" t="s">
        <v>431</v>
      </c>
      <c r="L48" s="150" t="s">
        <v>423</v>
      </c>
      <c r="M48" s="150" t="s">
        <v>435</v>
      </c>
      <c r="N48" t="str">
        <f t="shared" ca="1" si="8"/>
        <v>Food &amp; Beverage</v>
      </c>
      <c r="O48" s="150" t="s">
        <v>412</v>
      </c>
      <c r="P48" s="150" t="s">
        <v>428</v>
      </c>
      <c r="Q48" s="150" t="s">
        <v>399</v>
      </c>
      <c r="R48" t="str">
        <f t="shared" ca="1" si="9"/>
        <v>Sheets("Standards Input").Range("E53").Value</v>
      </c>
      <c r="S48" t="s">
        <v>398</v>
      </c>
      <c r="T48" t="s">
        <v>448</v>
      </c>
      <c r="U48" t="str">
        <f t="shared" ca="1" si="1"/>
        <v>Sheets("Master Data").Range("AO" &amp; RowNo).Value</v>
      </c>
      <c r="V48" t="str">
        <f t="shared" ca="1" si="10"/>
        <v>Sheets("Multi Attributes Input").Range("Food &amp; Beverage").Value</v>
      </c>
      <c r="X48" t="str">
        <f t="shared" ca="1" si="2"/>
        <v>Sheets("Master Data").Range("AO" &amp; RowNo).Value = Sheets("Standards Input").Range("E53").Value</v>
      </c>
      <c r="Z48" t="str">
        <f t="shared" ca="1" si="3"/>
        <v>Sheets("Standards Input").Range("E53").Value = Sheets("Master Data").Range("AO" &amp; RowNo).Value</v>
      </c>
      <c r="AB48" t="str">
        <f t="shared" ca="1" si="11"/>
        <v>Sheets("Multi Attributes Input").Range("Food &amp; Beverage").Value = Sheets("Standards Input").Range("E53").Value</v>
      </c>
      <c r="AD48" t="str">
        <f t="shared" ca="1" si="12"/>
        <v>Sheets("Master Data").Range("AO" &amp; RowNo).Value = Sheets("Multi Attributes Input").Range("Food &amp; Beverage").Value</v>
      </c>
    </row>
    <row r="49" spans="1:30" ht="15" x14ac:dyDescent="0.25">
      <c r="A49" s="150">
        <v>42</v>
      </c>
      <c r="B49" s="150" t="str">
        <f t="shared" si="4"/>
        <v>AP1</v>
      </c>
      <c r="D49" t="s">
        <v>416</v>
      </c>
      <c r="E49" t="str">
        <f t="shared" ca="1" si="5"/>
        <v>AP</v>
      </c>
      <c r="F49" t="str">
        <f t="shared" ca="1" si="14"/>
        <v/>
      </c>
      <c r="G49" t="s">
        <v>417</v>
      </c>
      <c r="H49" t="s">
        <v>421</v>
      </c>
      <c r="I49" t="str">
        <f t="shared" ca="1" si="6"/>
        <v>E55</v>
      </c>
      <c r="J49" t="str">
        <f t="shared" ca="1" si="7"/>
        <v>Beverage Outlet</v>
      </c>
      <c r="K49" t="s">
        <v>431</v>
      </c>
      <c r="L49" s="150" t="s">
        <v>423</v>
      </c>
      <c r="M49" s="150" t="s">
        <v>435</v>
      </c>
      <c r="N49" t="str">
        <f t="shared" ca="1" si="8"/>
        <v>Beverage Outlet</v>
      </c>
      <c r="O49" s="150" t="s">
        <v>412</v>
      </c>
      <c r="P49" s="150" t="s">
        <v>428</v>
      </c>
      <c r="Q49" s="150" t="s">
        <v>399</v>
      </c>
      <c r="R49" t="str">
        <f t="shared" ca="1" si="9"/>
        <v>Sheets("Standards Input").Range("E55").Value</v>
      </c>
      <c r="S49" t="s">
        <v>398</v>
      </c>
      <c r="T49" t="s">
        <v>448</v>
      </c>
      <c r="U49" t="str">
        <f t="shared" ca="1" si="1"/>
        <v>Sheets("Master Data").Range("AP" &amp; RowNo).Value</v>
      </c>
      <c r="V49" t="str">
        <f t="shared" ca="1" si="10"/>
        <v>Sheets("Multi Attributes Input").Range("Beverage Outlet").Value</v>
      </c>
      <c r="X49" t="str">
        <f t="shared" ca="1" si="2"/>
        <v>Sheets("Master Data").Range("AP" &amp; RowNo).Value = Sheets("Standards Input").Range("E55").Value</v>
      </c>
      <c r="Z49" t="str">
        <f t="shared" ca="1" si="3"/>
        <v>Sheets("Standards Input").Range("E55").Value = Sheets("Master Data").Range("AP" &amp; RowNo).Value</v>
      </c>
      <c r="AB49" t="str">
        <f t="shared" ca="1" si="11"/>
        <v>Sheets("Multi Attributes Input").Range("Beverage Outlet").Value = Sheets("Standards Input").Range("E55").Value</v>
      </c>
      <c r="AD49" t="str">
        <f t="shared" ca="1" si="12"/>
        <v>Sheets("Master Data").Range("AP" &amp; RowNo).Value = Sheets("Multi Attributes Input").Range("Beverage Outlet").Value</v>
      </c>
    </row>
    <row r="50" spans="1:30" ht="15" x14ac:dyDescent="0.25">
      <c r="A50" s="150">
        <v>43</v>
      </c>
      <c r="B50" s="150" t="str">
        <f t="shared" si="4"/>
        <v>AQ1</v>
      </c>
      <c r="D50" t="s">
        <v>416</v>
      </c>
      <c r="E50" t="str">
        <f t="shared" ca="1" si="5"/>
        <v>AQ</v>
      </c>
      <c r="F50" t="str">
        <f t="shared" ca="1" si="14"/>
        <v/>
      </c>
      <c r="G50" t="s">
        <v>417</v>
      </c>
      <c r="H50" t="s">
        <v>421</v>
      </c>
      <c r="I50" t="str">
        <f t="shared" ca="1" si="6"/>
        <v>E57</v>
      </c>
      <c r="J50" t="str">
        <f t="shared" ca="1" si="7"/>
        <v>Food Outlet</v>
      </c>
      <c r="K50" t="s">
        <v>431</v>
      </c>
      <c r="L50" s="150" t="s">
        <v>423</v>
      </c>
      <c r="M50" s="150" t="s">
        <v>435</v>
      </c>
      <c r="N50" t="str">
        <f t="shared" ca="1" si="8"/>
        <v>Food Outlet</v>
      </c>
      <c r="O50" s="150" t="s">
        <v>412</v>
      </c>
      <c r="P50" s="150" t="s">
        <v>428</v>
      </c>
      <c r="Q50" s="150" t="s">
        <v>399</v>
      </c>
      <c r="R50" t="str">
        <f t="shared" ca="1" si="9"/>
        <v>Sheets("Standards Input").Range("E57").Value</v>
      </c>
      <c r="S50" t="s">
        <v>398</v>
      </c>
      <c r="T50" t="s">
        <v>448</v>
      </c>
      <c r="U50" t="str">
        <f t="shared" ca="1" si="1"/>
        <v>Sheets("Master Data").Range("AQ" &amp; RowNo).Value</v>
      </c>
      <c r="V50" t="str">
        <f t="shared" ca="1" si="10"/>
        <v>Sheets("Multi Attributes Input").Range("Food Outlet").Value</v>
      </c>
      <c r="X50" t="str">
        <f t="shared" ca="1" si="2"/>
        <v>Sheets("Master Data").Range("AQ" &amp; RowNo).Value = Sheets("Standards Input").Range("E57").Value</v>
      </c>
      <c r="Z50" t="str">
        <f t="shared" ca="1" si="3"/>
        <v>Sheets("Standards Input").Range("E57").Value = Sheets("Master Data").Range("AQ" &amp; RowNo).Value</v>
      </c>
      <c r="AB50" t="str">
        <f t="shared" ca="1" si="11"/>
        <v>Sheets("Multi Attributes Input").Range("Food Outlet").Value = Sheets("Standards Input").Range("E57").Value</v>
      </c>
      <c r="AD50" t="str">
        <f t="shared" ca="1" si="12"/>
        <v>Sheets("Master Data").Range("AQ" &amp; RowNo).Value = Sheets("Multi Attributes Input").Range("Food Outlet").Value</v>
      </c>
    </row>
    <row r="51" spans="1:30" ht="15" x14ac:dyDescent="0.25">
      <c r="A51" s="150">
        <v>44</v>
      </c>
      <c r="B51" s="150" t="str">
        <f t="shared" si="4"/>
        <v>AR1</v>
      </c>
      <c r="D51" t="s">
        <v>416</v>
      </c>
      <c r="E51" t="str">
        <f t="shared" ca="1" si="5"/>
        <v>AR</v>
      </c>
      <c r="F51" t="str">
        <f t="shared" ca="1" si="14"/>
        <v/>
      </c>
      <c r="G51" t="s">
        <v>417</v>
      </c>
      <c r="H51" t="s">
        <v>421</v>
      </c>
      <c r="I51" t="str">
        <f t="shared" ca="1" si="6"/>
        <v>E59</v>
      </c>
      <c r="J51" t="str">
        <f t="shared" ca="1" si="7"/>
        <v>Open Lobby</v>
      </c>
      <c r="K51" t="s">
        <v>431</v>
      </c>
      <c r="L51" s="150" t="s">
        <v>423</v>
      </c>
      <c r="M51" s="150" t="s">
        <v>435</v>
      </c>
      <c r="N51" t="str">
        <f t="shared" ca="1" si="8"/>
        <v>Open Lobby</v>
      </c>
      <c r="O51" s="150" t="s">
        <v>412</v>
      </c>
      <c r="P51" s="150" t="s">
        <v>428</v>
      </c>
      <c r="Q51" s="150" t="s">
        <v>399</v>
      </c>
      <c r="R51" t="str">
        <f t="shared" ca="1" si="9"/>
        <v>Sheets("Standards Input").Range("E59").Value</v>
      </c>
      <c r="S51" t="s">
        <v>398</v>
      </c>
      <c r="T51" t="s">
        <v>448</v>
      </c>
      <c r="U51" t="str">
        <f t="shared" ca="1" si="1"/>
        <v>Sheets("Master Data").Range("AR" &amp; RowNo).Value</v>
      </c>
      <c r="V51" t="str">
        <f t="shared" ca="1" si="10"/>
        <v>Sheets("Multi Attributes Input").Range("Open Lobby").Value</v>
      </c>
      <c r="X51" t="str">
        <f t="shared" ca="1" si="2"/>
        <v>Sheets("Master Data").Range("AR" &amp; RowNo).Value = Sheets("Standards Input").Range("E59").Value</v>
      </c>
      <c r="Z51" t="str">
        <f t="shared" ca="1" si="3"/>
        <v>Sheets("Standards Input").Range("E59").Value = Sheets("Master Data").Range("AR" &amp; RowNo).Value</v>
      </c>
      <c r="AB51" t="str">
        <f t="shared" ca="1" si="11"/>
        <v>Sheets("Multi Attributes Input").Range("Open Lobby").Value = Sheets("Standards Input").Range("E59").Value</v>
      </c>
      <c r="AD51" t="str">
        <f t="shared" ca="1" si="12"/>
        <v>Sheets("Master Data").Range("AR" &amp; RowNo).Value = Sheets("Multi Attributes Input").Range("Open Lobby").Value</v>
      </c>
    </row>
    <row r="52" spans="1:30" ht="15" x14ac:dyDescent="0.25">
      <c r="A52" s="150">
        <v>45</v>
      </c>
      <c r="B52" s="150" t="str">
        <f t="shared" si="4"/>
        <v>AS1</v>
      </c>
      <c r="D52" t="s">
        <v>416</v>
      </c>
      <c r="E52" t="str">
        <f t="shared" ca="1" si="5"/>
        <v>AS</v>
      </c>
      <c r="F52" t="str">
        <f t="shared" ca="1" si="14"/>
        <v/>
      </c>
      <c r="G52" t="s">
        <v>417</v>
      </c>
      <c r="H52" t="s">
        <v>421</v>
      </c>
      <c r="I52" t="str">
        <f t="shared" ca="1" si="6"/>
        <v>E61</v>
      </c>
      <c r="J52" t="str">
        <f t="shared" ca="1" si="7"/>
        <v>Guest Floors</v>
      </c>
      <c r="K52" t="s">
        <v>431</v>
      </c>
      <c r="L52" s="150" t="s">
        <v>423</v>
      </c>
      <c r="M52" s="150" t="s">
        <v>435</v>
      </c>
      <c r="N52" t="str">
        <f t="shared" ca="1" si="8"/>
        <v>Guest Floors</v>
      </c>
      <c r="O52" s="150" t="s">
        <v>412</v>
      </c>
      <c r="P52" s="150" t="s">
        <v>428</v>
      </c>
      <c r="Q52" s="150" t="s">
        <v>399</v>
      </c>
      <c r="R52" t="str">
        <f t="shared" ca="1" si="9"/>
        <v>Sheets("Standards Input").Range("E61").Value</v>
      </c>
      <c r="S52" t="s">
        <v>398</v>
      </c>
      <c r="T52" t="s">
        <v>448</v>
      </c>
      <c r="U52" t="str">
        <f t="shared" ca="1" si="1"/>
        <v>Sheets("Master Data").Range("AS" &amp; RowNo).Value</v>
      </c>
      <c r="V52" t="str">
        <f t="shared" ca="1" si="10"/>
        <v>Sheets("Multi Attributes Input").Range("Guest Floors").Value</v>
      </c>
      <c r="X52" t="str">
        <f t="shared" ca="1" si="2"/>
        <v>Sheets("Master Data").Range("AS" &amp; RowNo).Value = Sheets("Standards Input").Range("E61").Value</v>
      </c>
      <c r="Z52" t="str">
        <f t="shared" ca="1" si="3"/>
        <v>Sheets("Standards Input").Range("E61").Value = Sheets("Master Data").Range("AS" &amp; RowNo).Value</v>
      </c>
      <c r="AB52" t="str">
        <f t="shared" ca="1" si="11"/>
        <v>Sheets("Multi Attributes Input").Range("Guest Floors").Value = Sheets("Standards Input").Range("E61").Value</v>
      </c>
      <c r="AD52" t="str">
        <f t="shared" ca="1" si="12"/>
        <v>Sheets("Master Data").Range("AS" &amp; RowNo).Value = Sheets("Multi Attributes Input").Range("Guest Floors").Value</v>
      </c>
    </row>
    <row r="53" spans="1:30" ht="15" x14ac:dyDescent="0.25">
      <c r="A53" s="150">
        <v>46</v>
      </c>
      <c r="B53" s="150" t="str">
        <f t="shared" si="4"/>
        <v>AT1</v>
      </c>
      <c r="D53" t="s">
        <v>416</v>
      </c>
      <c r="E53" t="str">
        <f t="shared" ca="1" si="5"/>
        <v>AT</v>
      </c>
      <c r="F53" t="str">
        <f t="shared" ca="1" si="14"/>
        <v/>
      </c>
      <c r="G53" t="s">
        <v>417</v>
      </c>
      <c r="H53" t="s">
        <v>421</v>
      </c>
      <c r="I53" t="str">
        <f t="shared" ca="1" si="6"/>
        <v>E63</v>
      </c>
      <c r="J53" t="str">
        <f t="shared" ca="1" si="7"/>
        <v>Guest Corridor</v>
      </c>
      <c r="K53" t="s">
        <v>431</v>
      </c>
      <c r="L53" s="150" t="s">
        <v>423</v>
      </c>
      <c r="M53" s="150" t="s">
        <v>435</v>
      </c>
      <c r="N53" t="str">
        <f t="shared" ca="1" si="8"/>
        <v>Guest Corridor</v>
      </c>
      <c r="O53" s="150" t="s">
        <v>412</v>
      </c>
      <c r="P53" s="150" t="s">
        <v>428</v>
      </c>
      <c r="Q53" s="150" t="s">
        <v>399</v>
      </c>
      <c r="R53" t="str">
        <f t="shared" ca="1" si="9"/>
        <v>Sheets("Standards Input").Range("E63").Value</v>
      </c>
      <c r="S53" t="s">
        <v>398</v>
      </c>
      <c r="T53" t="s">
        <v>448</v>
      </c>
      <c r="U53" t="str">
        <f t="shared" ca="1" si="1"/>
        <v>Sheets("Master Data").Range("AT" &amp; RowNo).Value</v>
      </c>
      <c r="V53" t="str">
        <f t="shared" ca="1" si="10"/>
        <v>Sheets("Multi Attributes Input").Range("Guest Corridor").Value</v>
      </c>
      <c r="X53" t="str">
        <f t="shared" ca="1" si="2"/>
        <v>Sheets("Master Data").Range("AT" &amp; RowNo).Value = Sheets("Standards Input").Range("E63").Value</v>
      </c>
      <c r="Z53" t="str">
        <f t="shared" ca="1" si="3"/>
        <v>Sheets("Standards Input").Range("E63").Value = Sheets("Master Data").Range("AT" &amp; RowNo).Value</v>
      </c>
      <c r="AB53" t="str">
        <f t="shared" ca="1" si="11"/>
        <v>Sheets("Multi Attributes Input").Range("Guest Corridor").Value = Sheets("Standards Input").Range("E63").Value</v>
      </c>
      <c r="AD53" t="str">
        <f t="shared" ca="1" si="12"/>
        <v>Sheets("Master Data").Range("AT" &amp; RowNo).Value = Sheets("Multi Attributes Input").Range("Guest Corridor").Value</v>
      </c>
    </row>
    <row r="54" spans="1:30" ht="15" x14ac:dyDescent="0.25">
      <c r="A54" s="150">
        <v>47</v>
      </c>
      <c r="B54" s="150" t="str">
        <f t="shared" si="4"/>
        <v>AU1</v>
      </c>
      <c r="D54" t="s">
        <v>416</v>
      </c>
      <c r="E54" t="str">
        <f t="shared" ca="1" si="5"/>
        <v>AU</v>
      </c>
      <c r="F54" t="str">
        <f t="shared" ca="1" si="14"/>
        <v/>
      </c>
      <c r="G54" t="s">
        <v>417</v>
      </c>
      <c r="H54" t="s">
        <v>421</v>
      </c>
      <c r="I54" t="str">
        <f t="shared" ca="1" si="6"/>
        <v>E65</v>
      </c>
      <c r="J54" t="str">
        <f t="shared" ca="1" si="7"/>
        <v>Guest Laundry</v>
      </c>
      <c r="K54" t="s">
        <v>431</v>
      </c>
      <c r="L54" s="150" t="s">
        <v>423</v>
      </c>
      <c r="M54" s="150" t="s">
        <v>435</v>
      </c>
      <c r="N54" t="str">
        <f t="shared" ca="1" si="8"/>
        <v>Guest Laundry</v>
      </c>
      <c r="O54" s="150" t="s">
        <v>412</v>
      </c>
      <c r="P54" s="150" t="s">
        <v>428</v>
      </c>
      <c r="Q54" s="150" t="s">
        <v>399</v>
      </c>
      <c r="R54" t="str">
        <f t="shared" ca="1" si="9"/>
        <v>Sheets("Standards Input").Range("E65").Value</v>
      </c>
      <c r="S54" t="s">
        <v>398</v>
      </c>
      <c r="T54" t="s">
        <v>448</v>
      </c>
      <c r="U54" t="str">
        <f t="shared" ca="1" si="1"/>
        <v>Sheets("Master Data").Range("AU" &amp; RowNo).Value</v>
      </c>
      <c r="V54" t="str">
        <f t="shared" ca="1" si="10"/>
        <v>Sheets("Multi Attributes Input").Range("Guest Laundry").Value</v>
      </c>
      <c r="X54" t="str">
        <f t="shared" ca="1" si="2"/>
        <v>Sheets("Master Data").Range("AU" &amp; RowNo).Value = Sheets("Standards Input").Range("E65").Value</v>
      </c>
      <c r="Z54" t="str">
        <f t="shared" ca="1" si="3"/>
        <v>Sheets("Standards Input").Range("E65").Value = Sheets("Master Data").Range("AU" &amp; RowNo).Value</v>
      </c>
      <c r="AB54" t="str">
        <f t="shared" ca="1" si="11"/>
        <v>Sheets("Multi Attributes Input").Range("Guest Laundry").Value = Sheets("Standards Input").Range("E65").Value</v>
      </c>
      <c r="AD54" t="str">
        <f t="shared" ca="1" si="12"/>
        <v>Sheets("Master Data").Range("AU" &amp; RowNo).Value = Sheets("Multi Attributes Input").Range("Guest Laundry").Value</v>
      </c>
    </row>
    <row r="55" spans="1:30" ht="15" x14ac:dyDescent="0.25">
      <c r="A55" s="150">
        <v>48</v>
      </c>
      <c r="B55" s="150" t="str">
        <f t="shared" si="4"/>
        <v>AV1</v>
      </c>
      <c r="D55" t="s">
        <v>416</v>
      </c>
      <c r="E55" t="str">
        <f t="shared" ca="1" si="5"/>
        <v>AV</v>
      </c>
      <c r="F55" t="str">
        <f t="shared" ca="1" si="14"/>
        <v/>
      </c>
      <c r="G55" t="s">
        <v>417</v>
      </c>
      <c r="H55" t="s">
        <v>421</v>
      </c>
      <c r="I55" t="str">
        <f t="shared" ca="1" si="6"/>
        <v>E67</v>
      </c>
      <c r="J55" t="str">
        <f t="shared" ca="1" si="7"/>
        <v>Guest Floor Stairwells</v>
      </c>
      <c r="K55" t="s">
        <v>431</v>
      </c>
      <c r="L55" s="150" t="s">
        <v>423</v>
      </c>
      <c r="M55" s="150" t="s">
        <v>435</v>
      </c>
      <c r="N55" t="str">
        <f t="shared" ca="1" si="8"/>
        <v>Guest Floor Stairwells</v>
      </c>
      <c r="O55" s="150" t="s">
        <v>412</v>
      </c>
      <c r="P55" s="150" t="s">
        <v>428</v>
      </c>
      <c r="Q55" s="150" t="s">
        <v>399</v>
      </c>
      <c r="R55" t="str">
        <f t="shared" ca="1" si="9"/>
        <v>Sheets("Standards Input").Range("E67").Value</v>
      </c>
      <c r="S55" t="s">
        <v>398</v>
      </c>
      <c r="T55" t="s">
        <v>448</v>
      </c>
      <c r="U55" t="str">
        <f t="shared" ca="1" si="1"/>
        <v>Sheets("Master Data").Range("AV" &amp; RowNo).Value</v>
      </c>
      <c r="V55" t="str">
        <f t="shared" ca="1" si="10"/>
        <v>Sheets("Multi Attributes Input").Range("Guest Floor Stairwells").Value</v>
      </c>
      <c r="X55" t="str">
        <f t="shared" ca="1" si="2"/>
        <v>Sheets("Master Data").Range("AV" &amp; RowNo).Value = Sheets("Standards Input").Range("E67").Value</v>
      </c>
      <c r="Z55" t="str">
        <f t="shared" ca="1" si="3"/>
        <v>Sheets("Standards Input").Range("E67").Value = Sheets("Master Data").Range("AV" &amp; RowNo).Value</v>
      </c>
      <c r="AB55" t="str">
        <f t="shared" ca="1" si="11"/>
        <v>Sheets("Multi Attributes Input").Range("Guest Floor Stairwells").Value = Sheets("Standards Input").Range("E67").Value</v>
      </c>
      <c r="AD55" t="str">
        <f t="shared" ca="1" si="12"/>
        <v>Sheets("Master Data").Range("AV" &amp; RowNo).Value = Sheets("Multi Attributes Input").Range("Guest Floor Stairwells").Value</v>
      </c>
    </row>
    <row r="56" spans="1:30" ht="15" x14ac:dyDescent="0.25">
      <c r="A56" s="150">
        <v>49</v>
      </c>
      <c r="B56" s="150" t="str">
        <f t="shared" si="4"/>
        <v>AW1</v>
      </c>
      <c r="D56" t="s">
        <v>416</v>
      </c>
      <c r="E56" t="str">
        <f t="shared" ca="1" si="5"/>
        <v>AW</v>
      </c>
      <c r="F56" t="str">
        <f t="shared" ca="1" si="14"/>
        <v/>
      </c>
      <c r="G56" t="s">
        <v>417</v>
      </c>
      <c r="H56" t="s">
        <v>421</v>
      </c>
      <c r="I56" t="str">
        <f t="shared" ca="1" si="6"/>
        <v>E69</v>
      </c>
      <c r="J56" t="str">
        <f t="shared" ca="1" si="7"/>
        <v>Vending</v>
      </c>
      <c r="K56" t="s">
        <v>431</v>
      </c>
      <c r="L56" s="150" t="s">
        <v>423</v>
      </c>
      <c r="M56" s="150" t="s">
        <v>435</v>
      </c>
      <c r="N56" t="str">
        <f t="shared" ca="1" si="8"/>
        <v>Vending</v>
      </c>
      <c r="O56" s="150" t="s">
        <v>412</v>
      </c>
      <c r="P56" s="150" t="s">
        <v>428</v>
      </c>
      <c r="Q56" s="150" t="s">
        <v>399</v>
      </c>
      <c r="R56" t="str">
        <f t="shared" ca="1" si="9"/>
        <v>Sheets("Standards Input").Range("E69").Value</v>
      </c>
      <c r="S56" t="s">
        <v>398</v>
      </c>
      <c r="T56" t="s">
        <v>448</v>
      </c>
      <c r="U56" t="str">
        <f t="shared" ca="1" si="1"/>
        <v>Sheets("Master Data").Range("AW" &amp; RowNo).Value</v>
      </c>
      <c r="V56" t="str">
        <f t="shared" ca="1" si="10"/>
        <v>Sheets("Multi Attributes Input").Range("Vending").Value</v>
      </c>
      <c r="X56" t="str">
        <f t="shared" ca="1" si="2"/>
        <v>Sheets("Master Data").Range("AW" &amp; RowNo).Value = Sheets("Standards Input").Range("E69").Value</v>
      </c>
      <c r="Z56" t="str">
        <f t="shared" ca="1" si="3"/>
        <v>Sheets("Standards Input").Range("E69").Value = Sheets("Master Data").Range("AW" &amp; RowNo).Value</v>
      </c>
      <c r="AB56" t="str">
        <f t="shared" ca="1" si="11"/>
        <v>Sheets("Multi Attributes Input").Range("Vending").Value = Sheets("Standards Input").Range("E69").Value</v>
      </c>
      <c r="AD56" t="str">
        <f t="shared" ca="1" si="12"/>
        <v>Sheets("Master Data").Range("AW" &amp; RowNo).Value = Sheets("Multi Attributes Input").Range("Vending").Value</v>
      </c>
    </row>
    <row r="57" spans="1:30" ht="15" x14ac:dyDescent="0.25">
      <c r="A57" s="150">
        <v>50</v>
      </c>
      <c r="B57" s="150" t="str">
        <f t="shared" si="4"/>
        <v>AX1</v>
      </c>
      <c r="D57" t="s">
        <v>416</v>
      </c>
      <c r="E57" t="str">
        <f t="shared" ca="1" si="5"/>
        <v>AX</v>
      </c>
      <c r="F57" t="str">
        <f t="shared" ca="1" si="14"/>
        <v/>
      </c>
      <c r="G57" t="s">
        <v>417</v>
      </c>
      <c r="H57" t="s">
        <v>421</v>
      </c>
      <c r="I57" t="str">
        <f t="shared" ca="1" si="6"/>
        <v>E71</v>
      </c>
      <c r="J57" t="str">
        <f t="shared" ca="1" si="7"/>
        <v>Guest Room</v>
      </c>
      <c r="K57" t="s">
        <v>431</v>
      </c>
      <c r="L57" s="150" t="s">
        <v>423</v>
      </c>
      <c r="M57" s="150" t="s">
        <v>435</v>
      </c>
      <c r="N57" t="str">
        <f t="shared" ca="1" si="8"/>
        <v>Guest Room</v>
      </c>
      <c r="O57" s="150" t="s">
        <v>412</v>
      </c>
      <c r="P57" s="150" t="s">
        <v>428</v>
      </c>
      <c r="Q57" s="150" t="s">
        <v>399</v>
      </c>
      <c r="R57" t="str">
        <f t="shared" ca="1" si="9"/>
        <v>Sheets("Standards Input").Range("E71").Value</v>
      </c>
      <c r="S57" t="s">
        <v>398</v>
      </c>
      <c r="T57" t="s">
        <v>448</v>
      </c>
      <c r="U57" t="str">
        <f t="shared" ca="1" si="1"/>
        <v>Sheets("Master Data").Range("AX" &amp; RowNo).Value</v>
      </c>
      <c r="V57" t="str">
        <f t="shared" ca="1" si="10"/>
        <v>Sheets("Multi Attributes Input").Range("Guest Room").Value</v>
      </c>
      <c r="X57" t="str">
        <f t="shared" ca="1" si="2"/>
        <v>Sheets("Master Data").Range("AX" &amp; RowNo).Value = Sheets("Standards Input").Range("E71").Value</v>
      </c>
      <c r="Z57" t="str">
        <f t="shared" ca="1" si="3"/>
        <v>Sheets("Standards Input").Range("E71").Value = Sheets("Master Data").Range("AX" &amp; RowNo).Value</v>
      </c>
      <c r="AB57" t="str">
        <f t="shared" ca="1" si="11"/>
        <v>Sheets("Multi Attributes Input").Range("Guest Room").Value = Sheets("Standards Input").Range("E71").Value</v>
      </c>
      <c r="AD57" t="str">
        <f t="shared" ca="1" si="12"/>
        <v>Sheets("Master Data").Range("AX" &amp; RowNo).Value = Sheets("Multi Attributes Input").Range("Guest Room").Value</v>
      </c>
    </row>
    <row r="58" spans="1:30" ht="15" x14ac:dyDescent="0.25">
      <c r="A58" s="150">
        <v>51</v>
      </c>
      <c r="B58" s="150" t="str">
        <f t="shared" si="4"/>
        <v>AY1</v>
      </c>
      <c r="D58" t="s">
        <v>416</v>
      </c>
      <c r="E58" t="str">
        <f t="shared" ca="1" si="5"/>
        <v>AY</v>
      </c>
      <c r="F58" t="str">
        <f t="shared" ca="1" si="14"/>
        <v/>
      </c>
      <c r="G58" t="s">
        <v>417</v>
      </c>
      <c r="H58" t="s">
        <v>421</v>
      </c>
      <c r="I58" t="str">
        <f t="shared" ca="1" si="6"/>
        <v>E73</v>
      </c>
      <c r="J58" t="str">
        <f t="shared" ca="1" si="7"/>
        <v>Bath Zone</v>
      </c>
      <c r="K58" t="s">
        <v>431</v>
      </c>
      <c r="L58" s="150" t="s">
        <v>423</v>
      </c>
      <c r="M58" s="150" t="s">
        <v>435</v>
      </c>
      <c r="N58" t="str">
        <f t="shared" ca="1" si="8"/>
        <v>Bath Zone</v>
      </c>
      <c r="O58" s="150" t="s">
        <v>412</v>
      </c>
      <c r="P58" s="150" t="s">
        <v>428</v>
      </c>
      <c r="Q58" s="150" t="s">
        <v>399</v>
      </c>
      <c r="R58" t="str">
        <f t="shared" ca="1" si="9"/>
        <v>Sheets("Standards Input").Range("E73").Value</v>
      </c>
      <c r="S58" t="s">
        <v>398</v>
      </c>
      <c r="T58" t="s">
        <v>448</v>
      </c>
      <c r="U58" t="str">
        <f t="shared" ca="1" si="1"/>
        <v>Sheets("Master Data").Range("AY" &amp; RowNo).Value</v>
      </c>
      <c r="V58" t="str">
        <f t="shared" ca="1" si="10"/>
        <v>Sheets("Multi Attributes Input").Range("Bath Zone").Value</v>
      </c>
      <c r="X58" t="str">
        <f t="shared" ca="1" si="2"/>
        <v>Sheets("Master Data").Range("AY" &amp; RowNo).Value = Sheets("Standards Input").Range("E73").Value</v>
      </c>
      <c r="Z58" t="str">
        <f t="shared" ca="1" si="3"/>
        <v>Sheets("Standards Input").Range("E73").Value = Sheets("Master Data").Range("AY" &amp; RowNo).Value</v>
      </c>
      <c r="AB58" t="str">
        <f t="shared" ca="1" si="11"/>
        <v>Sheets("Multi Attributes Input").Range("Bath Zone").Value = Sheets("Standards Input").Range("E73").Value</v>
      </c>
      <c r="AD58" t="str">
        <f t="shared" ca="1" si="12"/>
        <v>Sheets("Master Data").Range("AY" &amp; RowNo).Value = Sheets("Multi Attributes Input").Range("Bath Zone").Value</v>
      </c>
    </row>
    <row r="59" spans="1:30" ht="15" x14ac:dyDescent="0.25">
      <c r="A59" s="150">
        <v>52</v>
      </c>
      <c r="B59" s="150" t="str">
        <f t="shared" si="4"/>
        <v>AZ1</v>
      </c>
      <c r="D59" t="s">
        <v>416</v>
      </c>
      <c r="E59" t="str">
        <f t="shared" ca="1" si="5"/>
        <v>AZ</v>
      </c>
      <c r="F59" t="str">
        <f t="shared" ca="1" si="14"/>
        <v/>
      </c>
      <c r="G59" t="s">
        <v>417</v>
      </c>
      <c r="H59" t="s">
        <v>421</v>
      </c>
      <c r="I59" t="str">
        <f t="shared" ca="1" si="6"/>
        <v>E75</v>
      </c>
      <c r="J59" t="str">
        <f t="shared" ca="1" si="7"/>
        <v>Bed Zone</v>
      </c>
      <c r="K59" t="s">
        <v>431</v>
      </c>
      <c r="L59" s="150" t="s">
        <v>423</v>
      </c>
      <c r="M59" s="150" t="s">
        <v>435</v>
      </c>
      <c r="N59" t="str">
        <f t="shared" ca="1" si="8"/>
        <v>Bed Zone</v>
      </c>
      <c r="O59" s="150" t="s">
        <v>412</v>
      </c>
      <c r="P59" s="150" t="s">
        <v>428</v>
      </c>
      <c r="Q59" s="150" t="s">
        <v>399</v>
      </c>
      <c r="R59" t="str">
        <f t="shared" ca="1" si="9"/>
        <v>Sheets("Standards Input").Range("E75").Value</v>
      </c>
      <c r="S59" t="s">
        <v>398</v>
      </c>
      <c r="T59" t="s">
        <v>448</v>
      </c>
      <c r="U59" t="str">
        <f t="shared" ca="1" si="1"/>
        <v>Sheets("Master Data").Range("AZ" &amp; RowNo).Value</v>
      </c>
      <c r="V59" t="str">
        <f t="shared" ca="1" si="10"/>
        <v>Sheets("Multi Attributes Input").Range("Bed Zone").Value</v>
      </c>
      <c r="X59" t="str">
        <f t="shared" ca="1" si="2"/>
        <v>Sheets("Master Data").Range("AZ" &amp; RowNo).Value = Sheets("Standards Input").Range("E75").Value</v>
      </c>
      <c r="Z59" t="str">
        <f t="shared" ca="1" si="3"/>
        <v>Sheets("Standards Input").Range("E75").Value = Sheets("Master Data").Range("AZ" &amp; RowNo).Value</v>
      </c>
      <c r="AB59" t="str">
        <f t="shared" ca="1" si="11"/>
        <v>Sheets("Multi Attributes Input").Range("Bed Zone").Value = Sheets("Standards Input").Range("E75").Value</v>
      </c>
      <c r="AD59" t="str">
        <f t="shared" ca="1" si="12"/>
        <v>Sheets("Master Data").Range("AZ" &amp; RowNo).Value = Sheets("Multi Attributes Input").Range("Bed Zone").Value</v>
      </c>
    </row>
    <row r="60" spans="1:30" ht="15" x14ac:dyDescent="0.25">
      <c r="A60" s="150">
        <v>53</v>
      </c>
      <c r="B60" s="150" t="str">
        <f t="shared" si="4"/>
        <v>BA1</v>
      </c>
      <c r="D60" t="s">
        <v>416</v>
      </c>
      <c r="E60" t="str">
        <f t="shared" ca="1" si="5"/>
        <v>BA</v>
      </c>
      <c r="F60" t="str">
        <f t="shared" ca="1" si="14"/>
        <v/>
      </c>
      <c r="G60" t="s">
        <v>417</v>
      </c>
      <c r="H60" t="s">
        <v>421</v>
      </c>
      <c r="I60" t="str">
        <f t="shared" ca="1" si="6"/>
        <v>E77</v>
      </c>
      <c r="J60" t="str">
        <f t="shared" ca="1" si="7"/>
        <v>Kitchenette/Refreshment Zone</v>
      </c>
      <c r="K60" t="s">
        <v>431</v>
      </c>
      <c r="L60" s="150" t="s">
        <v>423</v>
      </c>
      <c r="M60" s="150" t="s">
        <v>435</v>
      </c>
      <c r="N60" t="str">
        <f t="shared" ca="1" si="8"/>
        <v>Kitchenette/Refreshment Zone</v>
      </c>
      <c r="O60" s="150" t="s">
        <v>412</v>
      </c>
      <c r="P60" s="150" t="s">
        <v>428</v>
      </c>
      <c r="Q60" s="150" t="s">
        <v>399</v>
      </c>
      <c r="R60" t="str">
        <f t="shared" ca="1" si="9"/>
        <v>Sheets("Standards Input").Range("E77").Value</v>
      </c>
      <c r="S60" t="s">
        <v>398</v>
      </c>
      <c r="T60" t="s">
        <v>448</v>
      </c>
      <c r="U60" t="str">
        <f t="shared" ca="1" si="1"/>
        <v>Sheets("Master Data").Range("BA" &amp; RowNo).Value</v>
      </c>
      <c r="V60" t="str">
        <f t="shared" ca="1" si="10"/>
        <v>Sheets("Multi Attributes Input").Range("Kitchenette/Refreshment Zone").Value</v>
      </c>
      <c r="X60" t="str">
        <f t="shared" ca="1" si="2"/>
        <v>Sheets("Master Data").Range("BA" &amp; RowNo).Value = Sheets("Standards Input").Range("E77").Value</v>
      </c>
      <c r="Z60" t="str">
        <f t="shared" ca="1" si="3"/>
        <v>Sheets("Standards Input").Range("E77").Value = Sheets("Master Data").Range("BA" &amp; RowNo).Value</v>
      </c>
      <c r="AB60" t="str">
        <f t="shared" ca="1" si="11"/>
        <v>Sheets("Multi Attributes Input").Range("Kitchenette/Refreshment Zone").Value = Sheets("Standards Input").Range("E77").Value</v>
      </c>
      <c r="AD60" t="str">
        <f t="shared" ca="1" si="12"/>
        <v>Sheets("Master Data").Range("BA" &amp; RowNo).Value = Sheets("Multi Attributes Input").Range("Kitchenette/Refreshment Zone").Value</v>
      </c>
    </row>
    <row r="61" spans="1:30" ht="15" x14ac:dyDescent="0.25">
      <c r="A61" s="150">
        <v>54</v>
      </c>
      <c r="B61" s="150" t="str">
        <f t="shared" si="4"/>
        <v>BB1</v>
      </c>
      <c r="D61" t="s">
        <v>416</v>
      </c>
      <c r="E61" t="str">
        <f t="shared" ca="1" si="5"/>
        <v>BB</v>
      </c>
      <c r="F61" t="str">
        <f t="shared" ca="1" si="14"/>
        <v/>
      </c>
      <c r="G61" t="s">
        <v>417</v>
      </c>
      <c r="H61" t="s">
        <v>421</v>
      </c>
      <c r="I61" t="str">
        <f t="shared" ca="1" si="6"/>
        <v>E79</v>
      </c>
      <c r="J61" t="str">
        <f t="shared" ca="1" si="7"/>
        <v>Living Zone</v>
      </c>
      <c r="K61" t="s">
        <v>431</v>
      </c>
      <c r="L61" s="150" t="s">
        <v>423</v>
      </c>
      <c r="M61" s="150" t="s">
        <v>435</v>
      </c>
      <c r="N61" t="str">
        <f t="shared" ca="1" si="8"/>
        <v>Living Zone</v>
      </c>
      <c r="O61" s="150" t="s">
        <v>412</v>
      </c>
      <c r="P61" s="150" t="s">
        <v>428</v>
      </c>
      <c r="Q61" s="150" t="s">
        <v>399</v>
      </c>
      <c r="R61" t="str">
        <f t="shared" ca="1" si="9"/>
        <v>Sheets("Standards Input").Range("E79").Value</v>
      </c>
      <c r="S61" t="s">
        <v>398</v>
      </c>
      <c r="T61" t="s">
        <v>448</v>
      </c>
      <c r="U61" t="str">
        <f t="shared" ca="1" si="1"/>
        <v>Sheets("Master Data").Range("BB" &amp; RowNo).Value</v>
      </c>
      <c r="V61" t="str">
        <f t="shared" ca="1" si="10"/>
        <v>Sheets("Multi Attributes Input").Range("Living Zone").Value</v>
      </c>
      <c r="X61" t="str">
        <f t="shared" ca="1" si="2"/>
        <v>Sheets("Master Data").Range("BB" &amp; RowNo).Value = Sheets("Standards Input").Range("E79").Value</v>
      </c>
      <c r="Z61" t="str">
        <f t="shared" ca="1" si="3"/>
        <v>Sheets("Standards Input").Range("E79").Value = Sheets("Master Data").Range("BB" &amp; RowNo).Value</v>
      </c>
      <c r="AB61" t="str">
        <f t="shared" ca="1" si="11"/>
        <v>Sheets("Multi Attributes Input").Range("Living Zone").Value = Sheets("Standards Input").Range("E79").Value</v>
      </c>
      <c r="AD61" t="str">
        <f t="shared" ca="1" si="12"/>
        <v>Sheets("Master Data").Range("BB" &amp; RowNo).Value = Sheets("Multi Attributes Input").Range("Living Zone").Value</v>
      </c>
    </row>
    <row r="62" spans="1:30" ht="15" x14ac:dyDescent="0.25">
      <c r="A62" s="150">
        <v>55</v>
      </c>
      <c r="B62" s="150" t="str">
        <f t="shared" si="4"/>
        <v>BC1</v>
      </c>
      <c r="D62" t="s">
        <v>416</v>
      </c>
      <c r="E62" t="str">
        <f t="shared" ca="1" si="5"/>
        <v>BC</v>
      </c>
      <c r="F62" t="str">
        <f t="shared" ca="1" si="14"/>
        <v/>
      </c>
      <c r="G62" t="s">
        <v>417</v>
      </c>
      <c r="H62" t="s">
        <v>421</v>
      </c>
      <c r="I62" t="str">
        <f t="shared" ca="1" si="6"/>
        <v>E81</v>
      </c>
      <c r="J62" t="str">
        <f t="shared" ca="1" si="7"/>
        <v>Wardrobe Zone</v>
      </c>
      <c r="K62" t="s">
        <v>431</v>
      </c>
      <c r="L62" s="150" t="s">
        <v>423</v>
      </c>
      <c r="M62" s="150" t="s">
        <v>435</v>
      </c>
      <c r="N62" t="str">
        <f t="shared" ca="1" si="8"/>
        <v>Wardrobe Zone</v>
      </c>
      <c r="O62" s="150" t="s">
        <v>412</v>
      </c>
      <c r="P62" s="150" t="s">
        <v>428</v>
      </c>
      <c r="Q62" s="150" t="s">
        <v>399</v>
      </c>
      <c r="R62" t="str">
        <f t="shared" ca="1" si="9"/>
        <v>Sheets("Standards Input").Range("E81").Value</v>
      </c>
      <c r="S62" t="s">
        <v>398</v>
      </c>
      <c r="T62" t="s">
        <v>448</v>
      </c>
      <c r="U62" t="str">
        <f t="shared" ca="1" si="1"/>
        <v>Sheets("Master Data").Range("BC" &amp; RowNo).Value</v>
      </c>
      <c r="V62" t="str">
        <f t="shared" ca="1" si="10"/>
        <v>Sheets("Multi Attributes Input").Range("Wardrobe Zone").Value</v>
      </c>
      <c r="X62" t="str">
        <f t="shared" ca="1" si="2"/>
        <v>Sheets("Master Data").Range("BC" &amp; RowNo).Value = Sheets("Standards Input").Range("E81").Value</v>
      </c>
      <c r="Z62" t="str">
        <f t="shared" ca="1" si="3"/>
        <v>Sheets("Standards Input").Range("E81").Value = Sheets("Master Data").Range("BC" &amp; RowNo).Value</v>
      </c>
      <c r="AB62" t="str">
        <f t="shared" ca="1" si="11"/>
        <v>Sheets("Multi Attributes Input").Range("Wardrobe Zone").Value = Sheets("Standards Input").Range("E81").Value</v>
      </c>
      <c r="AD62" t="str">
        <f t="shared" ca="1" si="12"/>
        <v>Sheets("Master Data").Range("BC" &amp; RowNo).Value = Sheets("Multi Attributes Input").Range("Wardrobe Zone").Value</v>
      </c>
    </row>
    <row r="63" spans="1:30" ht="15" x14ac:dyDescent="0.25">
      <c r="A63" s="150">
        <v>56</v>
      </c>
      <c r="B63" s="150" t="str">
        <f t="shared" si="4"/>
        <v>BD1</v>
      </c>
      <c r="D63" t="s">
        <v>416</v>
      </c>
      <c r="E63" t="str">
        <f t="shared" ca="1" si="5"/>
        <v>BD</v>
      </c>
      <c r="F63" t="str">
        <f t="shared" ca="1" si="14"/>
        <v/>
      </c>
      <c r="G63" t="s">
        <v>417</v>
      </c>
      <c r="H63" t="s">
        <v>421</v>
      </c>
      <c r="I63" t="str">
        <f t="shared" ca="1" si="6"/>
        <v>E83</v>
      </c>
      <c r="J63" t="str">
        <f t="shared" ca="1" si="7"/>
        <v>Work &amp; Entertainment Zone</v>
      </c>
      <c r="K63" t="s">
        <v>431</v>
      </c>
      <c r="L63" s="150" t="s">
        <v>423</v>
      </c>
      <c r="M63" s="150" t="s">
        <v>435</v>
      </c>
      <c r="N63" t="str">
        <f t="shared" ca="1" si="8"/>
        <v>Work &amp; Entertainment Zone</v>
      </c>
      <c r="O63" s="150" t="s">
        <v>412</v>
      </c>
      <c r="P63" s="150" t="s">
        <v>428</v>
      </c>
      <c r="Q63" s="150" t="s">
        <v>399</v>
      </c>
      <c r="R63" t="str">
        <f t="shared" ca="1" si="9"/>
        <v>Sheets("Standards Input").Range("E83").Value</v>
      </c>
      <c r="S63" t="s">
        <v>398</v>
      </c>
      <c r="T63" t="s">
        <v>448</v>
      </c>
      <c r="U63" t="str">
        <f t="shared" ca="1" si="1"/>
        <v>Sheets("Master Data").Range("BD" &amp; RowNo).Value</v>
      </c>
      <c r="V63" t="str">
        <f t="shared" ca="1" si="10"/>
        <v>Sheets("Multi Attributes Input").Range("Work &amp; Entertainment Zone").Value</v>
      </c>
      <c r="X63" t="str">
        <f t="shared" ca="1" si="2"/>
        <v>Sheets("Master Data").Range("BD" &amp; RowNo).Value = Sheets("Standards Input").Range("E83").Value</v>
      </c>
      <c r="Z63" t="str">
        <f t="shared" ca="1" si="3"/>
        <v>Sheets("Standards Input").Range("E83").Value = Sheets("Master Data").Range("BD" &amp; RowNo).Value</v>
      </c>
      <c r="AB63" t="str">
        <f t="shared" ca="1" si="11"/>
        <v>Sheets("Multi Attributes Input").Range("Work &amp; Entertainment Zone").Value = Sheets("Standards Input").Range("E83").Value</v>
      </c>
      <c r="AD63" t="str">
        <f t="shared" ca="1" si="12"/>
        <v>Sheets("Master Data").Range("BD" &amp; RowNo).Value = Sheets("Multi Attributes Input").Range("Work &amp; Entertainment Zone").Value</v>
      </c>
    </row>
    <row r="64" spans="1:30" ht="15" x14ac:dyDescent="0.25">
      <c r="A64" s="150">
        <v>57</v>
      </c>
      <c r="B64" s="150" t="str">
        <f t="shared" si="4"/>
        <v>BE1</v>
      </c>
      <c r="D64" t="s">
        <v>416</v>
      </c>
      <c r="E64" t="str">
        <f t="shared" ca="1" si="5"/>
        <v>BE</v>
      </c>
      <c r="F64" t="str">
        <f t="shared" ca="1" si="14"/>
        <v/>
      </c>
      <c r="G64" t="s">
        <v>417</v>
      </c>
      <c r="H64" t="s">
        <v>421</v>
      </c>
      <c r="I64" t="str">
        <f t="shared" ca="1" si="6"/>
        <v>E85</v>
      </c>
      <c r="J64" t="str">
        <f t="shared" ca="1" si="7"/>
        <v>Meeting Space</v>
      </c>
      <c r="K64" t="s">
        <v>431</v>
      </c>
      <c r="L64" s="150" t="s">
        <v>423</v>
      </c>
      <c r="M64" s="150" t="s">
        <v>435</v>
      </c>
      <c r="N64" t="str">
        <f t="shared" ca="1" si="8"/>
        <v>Meeting Space</v>
      </c>
      <c r="O64" s="150" t="s">
        <v>412</v>
      </c>
      <c r="P64" s="150" t="s">
        <v>428</v>
      </c>
      <c r="Q64" s="150" t="s">
        <v>399</v>
      </c>
      <c r="R64" t="str">
        <f t="shared" ca="1" si="9"/>
        <v>Sheets("Standards Input").Range("E85").Value</v>
      </c>
      <c r="S64" t="s">
        <v>398</v>
      </c>
      <c r="T64" t="s">
        <v>448</v>
      </c>
      <c r="U64" t="str">
        <f t="shared" ca="1" si="1"/>
        <v>Sheets("Master Data").Range("BE" &amp; RowNo).Value</v>
      </c>
      <c r="V64" t="str">
        <f t="shared" ca="1" si="10"/>
        <v>Sheets("Multi Attributes Input").Range("Meeting Space").Value</v>
      </c>
      <c r="X64" t="str">
        <f t="shared" ca="1" si="2"/>
        <v>Sheets("Master Data").Range("BE" &amp; RowNo).Value = Sheets("Standards Input").Range("E85").Value</v>
      </c>
      <c r="Z64" t="str">
        <f t="shared" ca="1" si="3"/>
        <v>Sheets("Standards Input").Range("E85").Value = Sheets("Master Data").Range("BE" &amp; RowNo).Value</v>
      </c>
      <c r="AB64" t="str">
        <f t="shared" ca="1" si="11"/>
        <v>Sheets("Multi Attributes Input").Range("Meeting Space").Value = Sheets("Standards Input").Range("E85").Value</v>
      </c>
      <c r="AD64" t="str">
        <f t="shared" ca="1" si="12"/>
        <v>Sheets("Master Data").Range("BE" &amp; RowNo).Value = Sheets("Multi Attributes Input").Range("Meeting Space").Value</v>
      </c>
    </row>
    <row r="65" spans="1:30" ht="15" x14ac:dyDescent="0.25">
      <c r="A65" s="150">
        <v>58</v>
      </c>
      <c r="B65" s="150" t="str">
        <f t="shared" si="4"/>
        <v>BF1</v>
      </c>
      <c r="D65" t="s">
        <v>416</v>
      </c>
      <c r="E65" t="str">
        <f t="shared" ca="1" si="5"/>
        <v>BF</v>
      </c>
      <c r="F65" t="str">
        <f t="shared" ca="1" si="14"/>
        <v/>
      </c>
      <c r="G65" t="s">
        <v>417</v>
      </c>
      <c r="H65" t="s">
        <v>421</v>
      </c>
      <c r="I65" t="str">
        <f t="shared" ca="1" si="6"/>
        <v>E87</v>
      </c>
      <c r="J65" t="str">
        <f t="shared" ca="1" si="7"/>
        <v>Meeting Room</v>
      </c>
      <c r="K65" t="s">
        <v>431</v>
      </c>
      <c r="L65" s="150" t="s">
        <v>423</v>
      </c>
      <c r="M65" s="150" t="s">
        <v>435</v>
      </c>
      <c r="N65" t="str">
        <f t="shared" ca="1" si="8"/>
        <v>Meeting Room</v>
      </c>
      <c r="O65" s="150" t="s">
        <v>412</v>
      </c>
      <c r="P65" s="150" t="s">
        <v>428</v>
      </c>
      <c r="Q65" s="150" t="s">
        <v>399</v>
      </c>
      <c r="R65" t="str">
        <f t="shared" ca="1" si="9"/>
        <v>Sheets("Standards Input").Range("E87").Value</v>
      </c>
      <c r="S65" t="s">
        <v>398</v>
      </c>
      <c r="T65" t="s">
        <v>448</v>
      </c>
      <c r="U65" t="str">
        <f t="shared" ca="1" si="1"/>
        <v>Sheets("Master Data").Range("BF" &amp; RowNo).Value</v>
      </c>
      <c r="V65" t="str">
        <f t="shared" ca="1" si="10"/>
        <v>Sheets("Multi Attributes Input").Range("Meeting Room").Value</v>
      </c>
      <c r="X65" t="str">
        <f t="shared" ca="1" si="2"/>
        <v>Sheets("Master Data").Range("BF" &amp; RowNo).Value = Sheets("Standards Input").Range("E87").Value</v>
      </c>
      <c r="Z65" t="str">
        <f t="shared" ca="1" si="3"/>
        <v>Sheets("Standards Input").Range("E87").Value = Sheets("Master Data").Range("BF" &amp; RowNo).Value</v>
      </c>
      <c r="AB65" t="str">
        <f t="shared" ca="1" si="11"/>
        <v>Sheets("Multi Attributes Input").Range("Meeting Room").Value = Sheets("Standards Input").Range("E87").Value</v>
      </c>
      <c r="AD65" t="str">
        <f t="shared" ca="1" si="12"/>
        <v>Sheets("Master Data").Range("BF" &amp; RowNo).Value = Sheets("Multi Attributes Input").Range("Meeting Room").Value</v>
      </c>
    </row>
    <row r="66" spans="1:30" ht="15" x14ac:dyDescent="0.25">
      <c r="A66" s="150">
        <v>59</v>
      </c>
      <c r="B66" s="150" t="str">
        <f t="shared" si="4"/>
        <v>BG1</v>
      </c>
      <c r="D66" t="s">
        <v>416</v>
      </c>
      <c r="E66" t="str">
        <f t="shared" ca="1" si="5"/>
        <v>BG</v>
      </c>
      <c r="F66" t="str">
        <f t="shared" ca="1" si="14"/>
        <v/>
      </c>
      <c r="G66" t="s">
        <v>417</v>
      </c>
      <c r="H66" t="s">
        <v>421</v>
      </c>
      <c r="I66" t="str">
        <f t="shared" ca="1" si="6"/>
        <v>E89</v>
      </c>
      <c r="J66" t="str">
        <f t="shared" ca="1" si="7"/>
        <v>Pre-Function Space</v>
      </c>
      <c r="K66" t="s">
        <v>431</v>
      </c>
      <c r="L66" s="150" t="s">
        <v>423</v>
      </c>
      <c r="M66" s="150" t="s">
        <v>435</v>
      </c>
      <c r="N66" t="str">
        <f t="shared" ca="1" si="8"/>
        <v>Pre-Function Space</v>
      </c>
      <c r="O66" s="150" t="s">
        <v>412</v>
      </c>
      <c r="P66" s="150" t="s">
        <v>428</v>
      </c>
      <c r="Q66" s="150" t="s">
        <v>399</v>
      </c>
      <c r="R66" t="str">
        <f t="shared" ca="1" si="9"/>
        <v>Sheets("Standards Input").Range("E89").Value</v>
      </c>
      <c r="S66" t="s">
        <v>398</v>
      </c>
      <c r="T66" t="s">
        <v>448</v>
      </c>
      <c r="U66" t="str">
        <f t="shared" ca="1" si="1"/>
        <v>Sheets("Master Data").Range("BG" &amp; RowNo).Value</v>
      </c>
      <c r="V66" t="str">
        <f t="shared" ca="1" si="10"/>
        <v>Sheets("Multi Attributes Input").Range("Pre-Function Space").Value</v>
      </c>
      <c r="X66" t="str">
        <f t="shared" ca="1" si="2"/>
        <v>Sheets("Master Data").Range("BG" &amp; RowNo).Value = Sheets("Standards Input").Range("E89").Value</v>
      </c>
      <c r="Z66" t="str">
        <f t="shared" ca="1" si="3"/>
        <v>Sheets("Standards Input").Range("E89").Value = Sheets("Master Data").Range("BG" &amp; RowNo).Value</v>
      </c>
      <c r="AB66" t="str">
        <f t="shared" ca="1" si="11"/>
        <v>Sheets("Multi Attributes Input").Range("Pre-Function Space").Value = Sheets("Standards Input").Range("E89").Value</v>
      </c>
      <c r="AD66" t="str">
        <f t="shared" ca="1" si="12"/>
        <v>Sheets("Master Data").Range("BG" &amp; RowNo).Value = Sheets("Multi Attributes Input").Range("Pre-Function Space").Value</v>
      </c>
    </row>
    <row r="67" spans="1:30" ht="15" x14ac:dyDescent="0.25">
      <c r="A67" s="150">
        <v>60</v>
      </c>
      <c r="B67" s="150" t="str">
        <f t="shared" si="4"/>
        <v>BH1</v>
      </c>
      <c r="D67" t="s">
        <v>416</v>
      </c>
      <c r="E67" t="str">
        <f t="shared" ca="1" si="5"/>
        <v>BH</v>
      </c>
      <c r="F67" t="str">
        <f t="shared" ca="1" si="14"/>
        <v/>
      </c>
      <c r="G67" t="s">
        <v>417</v>
      </c>
      <c r="H67" t="s">
        <v>421</v>
      </c>
      <c r="I67" t="str">
        <f t="shared" ca="1" si="6"/>
        <v>G53</v>
      </c>
      <c r="J67" t="str">
        <f t="shared" ca="1" si="7"/>
        <v>Public Areas</v>
      </c>
      <c r="K67" t="s">
        <v>431</v>
      </c>
      <c r="L67" s="150" t="s">
        <v>423</v>
      </c>
      <c r="M67" s="150" t="s">
        <v>435</v>
      </c>
      <c r="N67" t="str">
        <f t="shared" ca="1" si="8"/>
        <v>Public Areas</v>
      </c>
      <c r="O67" s="150" t="s">
        <v>412</v>
      </c>
      <c r="P67" s="150" t="s">
        <v>428</v>
      </c>
      <c r="Q67" s="150" t="s">
        <v>399</v>
      </c>
      <c r="R67" t="str">
        <f t="shared" ca="1" si="9"/>
        <v>Sheets("Standards Input").Range("G53").Value</v>
      </c>
      <c r="S67" t="s">
        <v>398</v>
      </c>
      <c r="T67" t="s">
        <v>448</v>
      </c>
      <c r="U67" t="str">
        <f t="shared" ca="1" si="1"/>
        <v>Sheets("Master Data").Range("BH" &amp; RowNo).Value</v>
      </c>
      <c r="V67" t="str">
        <f t="shared" ca="1" si="10"/>
        <v>Sheets("Multi Attributes Input").Range("Public Areas").Value</v>
      </c>
      <c r="X67" t="str">
        <f t="shared" ca="1" si="2"/>
        <v>Sheets("Master Data").Range("BH" &amp; RowNo).Value = Sheets("Standards Input").Range("G53").Value</v>
      </c>
      <c r="Z67" t="str">
        <f t="shared" ca="1" si="3"/>
        <v>Sheets("Standards Input").Range("G53").Value = Sheets("Master Data").Range("BH" &amp; RowNo).Value</v>
      </c>
      <c r="AB67" t="str">
        <f t="shared" ca="1" si="11"/>
        <v>Sheets("Multi Attributes Input").Range("Public Areas").Value = Sheets("Standards Input").Range("G53").Value</v>
      </c>
      <c r="AD67" t="str">
        <f t="shared" ca="1" si="12"/>
        <v>Sheets("Master Data").Range("BH" &amp; RowNo).Value = Sheets("Multi Attributes Input").Range("Public Areas").Value</v>
      </c>
    </row>
    <row r="68" spans="1:30" ht="15" x14ac:dyDescent="0.25">
      <c r="A68" s="150">
        <v>61</v>
      </c>
      <c r="B68" s="150" t="str">
        <f t="shared" si="4"/>
        <v>BI1</v>
      </c>
      <c r="D68" t="s">
        <v>416</v>
      </c>
      <c r="E68" t="str">
        <f t="shared" ca="1" si="5"/>
        <v>BI</v>
      </c>
      <c r="F68" t="str">
        <f t="shared" ca="1" si="14"/>
        <v/>
      </c>
      <c r="G68" t="s">
        <v>417</v>
      </c>
      <c r="H68" t="s">
        <v>421</v>
      </c>
      <c r="I68" t="str">
        <f t="shared" ca="1" si="6"/>
        <v>G55</v>
      </c>
      <c r="J68" t="str">
        <f t="shared" ca="1" si="7"/>
        <v>Business Center</v>
      </c>
      <c r="K68" t="s">
        <v>431</v>
      </c>
      <c r="L68" s="150" t="s">
        <v>423</v>
      </c>
      <c r="M68" s="150" t="s">
        <v>435</v>
      </c>
      <c r="N68" t="str">
        <f t="shared" ca="1" si="8"/>
        <v>Business Center</v>
      </c>
      <c r="O68" s="150" t="s">
        <v>412</v>
      </c>
      <c r="P68" s="150" t="s">
        <v>428</v>
      </c>
      <c r="Q68" s="150" t="s">
        <v>399</v>
      </c>
      <c r="R68" t="str">
        <f t="shared" ca="1" si="9"/>
        <v>Sheets("Standards Input").Range("G55").Value</v>
      </c>
      <c r="S68" t="s">
        <v>398</v>
      </c>
      <c r="T68" t="s">
        <v>448</v>
      </c>
      <c r="U68" t="str">
        <f t="shared" ca="1" si="1"/>
        <v>Sheets("Master Data").Range("BI" &amp; RowNo).Value</v>
      </c>
      <c r="V68" t="str">
        <f t="shared" ca="1" si="10"/>
        <v>Sheets("Multi Attributes Input").Range("Business Center").Value</v>
      </c>
      <c r="X68" t="str">
        <f t="shared" ca="1" si="2"/>
        <v>Sheets("Master Data").Range("BI" &amp; RowNo).Value = Sheets("Standards Input").Range("G55").Value</v>
      </c>
      <c r="Z68" t="str">
        <f t="shared" ca="1" si="3"/>
        <v>Sheets("Standards Input").Range("G55").Value = Sheets("Master Data").Range("BI" &amp; RowNo).Value</v>
      </c>
      <c r="AB68" t="str">
        <f t="shared" ca="1" si="11"/>
        <v>Sheets("Multi Attributes Input").Range("Business Center").Value = Sheets("Standards Input").Range("G55").Value</v>
      </c>
      <c r="AD68" t="str">
        <f t="shared" ca="1" si="12"/>
        <v>Sheets("Master Data").Range("BI" &amp; RowNo).Value = Sheets("Multi Attributes Input").Range("Business Center").Value</v>
      </c>
    </row>
    <row r="69" spans="1:30" ht="15" x14ac:dyDescent="0.25">
      <c r="A69" s="150">
        <v>62</v>
      </c>
      <c r="B69" s="150" t="str">
        <f t="shared" si="4"/>
        <v>BJ1</v>
      </c>
      <c r="D69" t="s">
        <v>416</v>
      </c>
      <c r="E69" t="str">
        <f t="shared" ca="1" si="5"/>
        <v>BJ</v>
      </c>
      <c r="F69" t="str">
        <f t="shared" ca="1" si="14"/>
        <v/>
      </c>
      <c r="G69" t="s">
        <v>417</v>
      </c>
      <c r="H69" t="s">
        <v>421</v>
      </c>
      <c r="I69" t="str">
        <f t="shared" ca="1" si="6"/>
        <v>G57</v>
      </c>
      <c r="J69" t="str">
        <f t="shared" ca="1" si="7"/>
        <v>Public Corridor</v>
      </c>
      <c r="K69" t="s">
        <v>431</v>
      </c>
      <c r="L69" s="150" t="s">
        <v>423</v>
      </c>
      <c r="M69" s="150" t="s">
        <v>435</v>
      </c>
      <c r="N69" t="str">
        <f t="shared" ca="1" si="8"/>
        <v>Public Corridor</v>
      </c>
      <c r="O69" s="150" t="s">
        <v>412</v>
      </c>
      <c r="P69" s="150" t="s">
        <v>428</v>
      </c>
      <c r="Q69" s="150" t="s">
        <v>399</v>
      </c>
      <c r="R69" t="str">
        <f t="shared" ca="1" si="9"/>
        <v>Sheets("Standards Input").Range("G57").Value</v>
      </c>
      <c r="S69" t="s">
        <v>398</v>
      </c>
      <c r="T69" t="s">
        <v>448</v>
      </c>
      <c r="U69" t="str">
        <f t="shared" ca="1" si="1"/>
        <v>Sheets("Master Data").Range("BJ" &amp; RowNo).Value</v>
      </c>
      <c r="V69" t="str">
        <f t="shared" ca="1" si="10"/>
        <v>Sheets("Multi Attributes Input").Range("Public Corridor").Value</v>
      </c>
      <c r="X69" t="str">
        <f t="shared" ca="1" si="2"/>
        <v>Sheets("Master Data").Range("BJ" &amp; RowNo).Value = Sheets("Standards Input").Range("G57").Value</v>
      </c>
      <c r="Z69" t="str">
        <f t="shared" ca="1" si="3"/>
        <v>Sheets("Standards Input").Range("G57").Value = Sheets("Master Data").Range("BJ" &amp; RowNo).Value</v>
      </c>
      <c r="AB69" t="str">
        <f t="shared" ca="1" si="11"/>
        <v>Sheets("Multi Attributes Input").Range("Public Corridor").Value = Sheets("Standards Input").Range("G57").Value</v>
      </c>
      <c r="AD69" t="str">
        <f t="shared" ca="1" si="12"/>
        <v>Sheets("Master Data").Range("BJ" &amp; RowNo).Value = Sheets("Multi Attributes Input").Range("Public Corridor").Value</v>
      </c>
    </row>
    <row r="70" spans="1:30" ht="15" x14ac:dyDescent="0.25">
      <c r="A70" s="150">
        <v>63</v>
      </c>
      <c r="B70" s="150" t="str">
        <f t="shared" si="4"/>
        <v>BK1</v>
      </c>
      <c r="D70" t="s">
        <v>416</v>
      </c>
      <c r="E70" t="str">
        <f t="shared" ca="1" si="5"/>
        <v>BK</v>
      </c>
      <c r="F70" t="str">
        <f t="shared" ca="1" si="14"/>
        <v/>
      </c>
      <c r="G70" t="s">
        <v>417</v>
      </c>
      <c r="H70" t="s">
        <v>421</v>
      </c>
      <c r="I70" t="str">
        <f t="shared" ca="1" si="6"/>
        <v>G59</v>
      </c>
      <c r="J70" t="str">
        <f t="shared" ca="1" si="7"/>
        <v>Elevator</v>
      </c>
      <c r="K70" t="s">
        <v>431</v>
      </c>
      <c r="L70" s="150" t="s">
        <v>423</v>
      </c>
      <c r="M70" s="150" t="s">
        <v>435</v>
      </c>
      <c r="N70" t="str">
        <f t="shared" ca="1" si="8"/>
        <v>Elevator</v>
      </c>
      <c r="O70" s="150" t="s">
        <v>412</v>
      </c>
      <c r="P70" s="150" t="s">
        <v>428</v>
      </c>
      <c r="Q70" s="150" t="s">
        <v>399</v>
      </c>
      <c r="R70" t="str">
        <f t="shared" ca="1" si="9"/>
        <v>Sheets("Standards Input").Range("G59").Value</v>
      </c>
      <c r="S70" t="s">
        <v>398</v>
      </c>
      <c r="T70" t="s">
        <v>448</v>
      </c>
      <c r="U70" t="str">
        <f t="shared" ca="1" si="1"/>
        <v>Sheets("Master Data").Range("BK" &amp; RowNo).Value</v>
      </c>
      <c r="V70" t="str">
        <f t="shared" ca="1" si="10"/>
        <v>Sheets("Multi Attributes Input").Range("Elevator").Value</v>
      </c>
      <c r="X70" t="str">
        <f t="shared" ca="1" si="2"/>
        <v>Sheets("Master Data").Range("BK" &amp; RowNo).Value = Sheets("Standards Input").Range("G59").Value</v>
      </c>
      <c r="Z70" t="str">
        <f t="shared" ca="1" si="3"/>
        <v>Sheets("Standards Input").Range("G59").Value = Sheets("Master Data").Range("BK" &amp; RowNo).Value</v>
      </c>
      <c r="AB70" t="str">
        <f t="shared" ca="1" si="11"/>
        <v>Sheets("Multi Attributes Input").Range("Elevator").Value = Sheets("Standards Input").Range("G59").Value</v>
      </c>
      <c r="AD70" t="str">
        <f t="shared" ca="1" si="12"/>
        <v>Sheets("Master Data").Range("BK" &amp; RowNo).Value = Sheets("Multi Attributes Input").Range("Elevator").Value</v>
      </c>
    </row>
    <row r="71" spans="1:30" ht="15" x14ac:dyDescent="0.25">
      <c r="A71" s="150">
        <v>64</v>
      </c>
      <c r="B71" s="150" t="str">
        <f t="shared" si="4"/>
        <v>BL1</v>
      </c>
      <c r="D71" t="s">
        <v>416</v>
      </c>
      <c r="E71" t="str">
        <f t="shared" ca="1" si="5"/>
        <v>BL</v>
      </c>
      <c r="F71" t="str">
        <f t="shared" ca="1" si="14"/>
        <v/>
      </c>
      <c r="G71" t="s">
        <v>417</v>
      </c>
      <c r="H71" t="s">
        <v>421</v>
      </c>
      <c r="I71" t="str">
        <f t="shared" ca="1" si="6"/>
        <v>G61</v>
      </c>
      <c r="J71" t="str">
        <f t="shared" ca="1" si="7"/>
        <v>Lobby</v>
      </c>
      <c r="K71" t="s">
        <v>431</v>
      </c>
      <c r="L71" s="150" t="s">
        <v>423</v>
      </c>
      <c r="M71" s="150" t="s">
        <v>435</v>
      </c>
      <c r="N71" t="str">
        <f t="shared" ca="1" si="8"/>
        <v>Lobby</v>
      </c>
      <c r="O71" s="150" t="s">
        <v>412</v>
      </c>
      <c r="P71" s="150" t="s">
        <v>428</v>
      </c>
      <c r="Q71" s="150" t="s">
        <v>399</v>
      </c>
      <c r="R71" t="str">
        <f t="shared" ca="1" si="9"/>
        <v>Sheets("Standards Input").Range("G61").Value</v>
      </c>
      <c r="S71" t="s">
        <v>398</v>
      </c>
      <c r="T71" t="s">
        <v>448</v>
      </c>
      <c r="U71" t="str">
        <f t="shared" ca="1" si="1"/>
        <v>Sheets("Master Data").Range("BL" &amp; RowNo).Value</v>
      </c>
      <c r="V71" t="str">
        <f t="shared" ca="1" si="10"/>
        <v>Sheets("Multi Attributes Input").Range("Lobby").Value</v>
      </c>
      <c r="X71" t="str">
        <f t="shared" ca="1" si="2"/>
        <v>Sheets("Master Data").Range("BL" &amp; RowNo).Value = Sheets("Standards Input").Range("G61").Value</v>
      </c>
      <c r="Z71" t="str">
        <f t="shared" ca="1" si="3"/>
        <v>Sheets("Standards Input").Range("G61").Value = Sheets("Master Data").Range("BL" &amp; RowNo).Value</v>
      </c>
      <c r="AB71" t="str">
        <f t="shared" ca="1" si="11"/>
        <v>Sheets("Multi Attributes Input").Range("Lobby").Value = Sheets("Standards Input").Range("G61").Value</v>
      </c>
      <c r="AD71" t="str">
        <f t="shared" ca="1" si="12"/>
        <v>Sheets("Master Data").Range("BL" &amp; RowNo).Value = Sheets("Multi Attributes Input").Range("Lobby").Value</v>
      </c>
    </row>
    <row r="72" spans="1:30" ht="15" x14ac:dyDescent="0.25">
      <c r="A72" s="150">
        <v>65</v>
      </c>
      <c r="B72" s="150" t="str">
        <f t="shared" si="4"/>
        <v>BM1</v>
      </c>
      <c r="D72" t="s">
        <v>416</v>
      </c>
      <c r="E72" t="str">
        <f t="shared" ca="1" si="5"/>
        <v>BM</v>
      </c>
      <c r="F72" t="str">
        <f t="shared" ca="1" si="14"/>
        <v/>
      </c>
      <c r="G72" t="s">
        <v>417</v>
      </c>
      <c r="H72" t="s">
        <v>421</v>
      </c>
      <c r="I72" t="str">
        <f t="shared" ca="1" si="6"/>
        <v>G63</v>
      </c>
      <c r="J72" t="str">
        <f t="shared" ca="1" si="7"/>
        <v>Club Lounge</v>
      </c>
      <c r="K72" t="s">
        <v>431</v>
      </c>
      <c r="L72" s="150" t="s">
        <v>423</v>
      </c>
      <c r="M72" s="150" t="s">
        <v>435</v>
      </c>
      <c r="N72" t="str">
        <f t="shared" ca="1" si="8"/>
        <v>Club Lounge</v>
      </c>
      <c r="O72" s="150" t="s">
        <v>412</v>
      </c>
      <c r="P72" s="150" t="s">
        <v>428</v>
      </c>
      <c r="Q72" s="150" t="s">
        <v>399</v>
      </c>
      <c r="R72" t="str">
        <f t="shared" ca="1" si="9"/>
        <v>Sheets("Standards Input").Range("G63").Value</v>
      </c>
      <c r="S72" t="s">
        <v>398</v>
      </c>
      <c r="T72" t="s">
        <v>448</v>
      </c>
      <c r="U72" t="str">
        <f t="shared" ref="U72:U135" ca="1" si="16">CONCATENATE(S72,L72,E72,L72,M72,K72,Q72)</f>
        <v>Sheets("Master Data").Range("BM" &amp; RowNo).Value</v>
      </c>
      <c r="V72" t="str">
        <f t="shared" ca="1" si="10"/>
        <v>Sheets("Multi Attributes Input").Range("Club Lounge").Value</v>
      </c>
      <c r="X72" t="str">
        <f t="shared" ref="X72:X135" ca="1" si="17">CONCATENATE(U72,O72,R72)</f>
        <v>Sheets("Master Data").Range("BM" &amp; RowNo).Value = Sheets("Standards Input").Range("G63").Value</v>
      </c>
      <c r="Z72" t="str">
        <f t="shared" ref="Z72:Z135" ca="1" si="18">CONCATENATE(R72,O72,U72)</f>
        <v>Sheets("Standards Input").Range("G63").Value = Sheets("Master Data").Range("BM" &amp; RowNo).Value</v>
      </c>
      <c r="AB72" t="str">
        <f t="shared" ca="1" si="11"/>
        <v>Sheets("Multi Attributes Input").Range("Club Lounge").Value = Sheets("Standards Input").Range("G63").Value</v>
      </c>
      <c r="AD72" t="str">
        <f t="shared" ca="1" si="12"/>
        <v>Sheets("Master Data").Range("BM" &amp; RowNo).Value = Sheets("Multi Attributes Input").Range("Club Lounge").Value</v>
      </c>
    </row>
    <row r="73" spans="1:30" ht="15" x14ac:dyDescent="0.25">
      <c r="A73" s="150">
        <v>66</v>
      </c>
      <c r="B73" s="150" t="str">
        <f t="shared" ref="B73:B136" si="19">ADDRESS(1, A73, 4)</f>
        <v>BN1</v>
      </c>
      <c r="D73" t="s">
        <v>416</v>
      </c>
      <c r="E73" t="str">
        <f t="shared" ref="E73:E136" ca="1" si="20">INDIRECT("'Master Data'!" &amp; B73)</f>
        <v>BN</v>
      </c>
      <c r="F73" t="str">
        <f t="shared" ca="1" si="14"/>
        <v/>
      </c>
      <c r="G73" t="s">
        <v>417</v>
      </c>
      <c r="H73" t="s">
        <v>421</v>
      </c>
      <c r="I73" t="str">
        <f t="shared" ref="I73:I136" ca="1" si="21">SUBSTITUTE(INDIRECT("'Master Data'!" &amp; E73 &amp; 2),"$","")</f>
        <v>G65</v>
      </c>
      <c r="J73" t="str">
        <f t="shared" ref="J73:J136" ca="1" si="22">SUBSTITUTE(INDIRECT("'Master Data'!" &amp; E73 &amp; 3),"$","")</f>
        <v>Front Desk</v>
      </c>
      <c r="K73" t="s">
        <v>431</v>
      </c>
      <c r="L73" s="150" t="s">
        <v>423</v>
      </c>
      <c r="M73" s="150" t="s">
        <v>435</v>
      </c>
      <c r="N73" t="str">
        <f t="shared" ref="N73:N136" ca="1" si="23">INDIRECT("'Master Data'!" &amp; E73 &amp; 3)</f>
        <v>Front Desk</v>
      </c>
      <c r="O73" s="150" t="s">
        <v>412</v>
      </c>
      <c r="P73" s="150" t="s">
        <v>428</v>
      </c>
      <c r="Q73" s="150" t="s">
        <v>399</v>
      </c>
      <c r="R73" t="str">
        <f t="shared" ref="R73:R136" ca="1" si="24">CONCATENATE(P73,L73,I73,L73,Q73)</f>
        <v>Sheets("Standards Input").Range("G65").Value</v>
      </c>
      <c r="S73" t="s">
        <v>398</v>
      </c>
      <c r="T73" t="s">
        <v>448</v>
      </c>
      <c r="U73" t="str">
        <f t="shared" ca="1" si="16"/>
        <v>Sheets("Master Data").Range("BN" &amp; RowNo).Value</v>
      </c>
      <c r="V73" t="str">
        <f t="shared" ref="V73:V136" ca="1" si="25">CONCATENATE(T73,L73,J73,L73,Q73)</f>
        <v>Sheets("Multi Attributes Input").Range("Front Desk").Value</v>
      </c>
      <c r="X73" t="str">
        <f t="shared" ca="1" si="17"/>
        <v>Sheets("Master Data").Range("BN" &amp; RowNo).Value = Sheets("Standards Input").Range("G65").Value</v>
      </c>
      <c r="Z73" t="str">
        <f t="shared" ca="1" si="18"/>
        <v>Sheets("Standards Input").Range("G65").Value = Sheets("Master Data").Range("BN" &amp; RowNo).Value</v>
      </c>
      <c r="AB73" t="str">
        <f t="shared" ref="AB73:AB136" ca="1" si="26">CONCATENATE(V73,O73,R73)</f>
        <v>Sheets("Multi Attributes Input").Range("Front Desk").Value = Sheets("Standards Input").Range("G65").Value</v>
      </c>
      <c r="AD73" t="str">
        <f t="shared" ca="1" si="12"/>
        <v>Sheets("Master Data").Range("BN" &amp; RowNo).Value = Sheets("Multi Attributes Input").Range("Front Desk").Value</v>
      </c>
    </row>
    <row r="74" spans="1:30" ht="15" x14ac:dyDescent="0.25">
      <c r="A74" s="150">
        <v>67</v>
      </c>
      <c r="B74" s="150" t="str">
        <f t="shared" si="19"/>
        <v>BO1</v>
      </c>
      <c r="D74" t="s">
        <v>416</v>
      </c>
      <c r="E74" t="str">
        <f t="shared" ca="1" si="20"/>
        <v>BO</v>
      </c>
      <c r="F74" t="str">
        <f t="shared" ca="1" si="14"/>
        <v/>
      </c>
      <c r="G74" t="s">
        <v>417</v>
      </c>
      <c r="H74" t="s">
        <v>421</v>
      </c>
      <c r="I74" t="str">
        <f t="shared" ca="1" si="21"/>
        <v>G67</v>
      </c>
      <c r="J74" t="str">
        <f t="shared" ca="1" si="22"/>
        <v>Public Restroom</v>
      </c>
      <c r="K74" t="s">
        <v>431</v>
      </c>
      <c r="L74" s="150" t="s">
        <v>423</v>
      </c>
      <c r="M74" s="150" t="s">
        <v>435</v>
      </c>
      <c r="N74" t="str">
        <f t="shared" ca="1" si="23"/>
        <v>Public Restroom</v>
      </c>
      <c r="O74" s="150" t="s">
        <v>412</v>
      </c>
      <c r="P74" s="150" t="s">
        <v>428</v>
      </c>
      <c r="Q74" s="150" t="s">
        <v>399</v>
      </c>
      <c r="R74" t="str">
        <f t="shared" ca="1" si="24"/>
        <v>Sheets("Standards Input").Range("G67").Value</v>
      </c>
      <c r="S74" t="s">
        <v>398</v>
      </c>
      <c r="T74" t="s">
        <v>448</v>
      </c>
      <c r="U74" t="str">
        <f t="shared" ca="1" si="16"/>
        <v>Sheets("Master Data").Range("BO" &amp; RowNo).Value</v>
      </c>
      <c r="V74" t="str">
        <f t="shared" ca="1" si="25"/>
        <v>Sheets("Multi Attributes Input").Range("Public Restroom").Value</v>
      </c>
      <c r="X74" t="str">
        <f t="shared" ca="1" si="17"/>
        <v>Sheets("Master Data").Range("BO" &amp; RowNo).Value = Sheets("Standards Input").Range("G67").Value</v>
      </c>
      <c r="Z74" t="str">
        <f t="shared" ca="1" si="18"/>
        <v>Sheets("Standards Input").Range("G67").Value = Sheets("Master Data").Range("BO" &amp; RowNo).Value</v>
      </c>
      <c r="AB74" t="str">
        <f t="shared" ca="1" si="26"/>
        <v>Sheets("Multi Attributes Input").Range("Public Restroom").Value = Sheets("Standards Input").Range("G67").Value</v>
      </c>
      <c r="AD74" t="str">
        <f t="shared" ca="1" si="12"/>
        <v>Sheets("Master Data").Range("BO" &amp; RowNo).Value = Sheets("Multi Attributes Input").Range("Public Restroom").Value</v>
      </c>
    </row>
    <row r="75" spans="1:30" ht="15" x14ac:dyDescent="0.25">
      <c r="A75" s="150">
        <v>68</v>
      </c>
      <c r="B75" s="150" t="str">
        <f t="shared" si="19"/>
        <v>BP1</v>
      </c>
      <c r="D75" t="s">
        <v>416</v>
      </c>
      <c r="E75" t="str">
        <f t="shared" ca="1" si="20"/>
        <v>BP</v>
      </c>
      <c r="F75" t="str">
        <f t="shared" ca="1" si="14"/>
        <v/>
      </c>
      <c r="G75" t="s">
        <v>417</v>
      </c>
      <c r="H75" t="s">
        <v>421</v>
      </c>
      <c r="I75" t="str">
        <f t="shared" ca="1" si="21"/>
        <v>G69</v>
      </c>
      <c r="J75" t="str">
        <f t="shared" ca="1" si="22"/>
        <v>Retail Space</v>
      </c>
      <c r="K75" t="s">
        <v>431</v>
      </c>
      <c r="L75" s="150" t="s">
        <v>423</v>
      </c>
      <c r="M75" s="150" t="s">
        <v>435</v>
      </c>
      <c r="N75" t="str">
        <f t="shared" ca="1" si="23"/>
        <v>Retail Space</v>
      </c>
      <c r="O75" s="150" t="s">
        <v>412</v>
      </c>
      <c r="P75" s="150" t="s">
        <v>428</v>
      </c>
      <c r="Q75" s="150" t="s">
        <v>399</v>
      </c>
      <c r="R75" t="str">
        <f t="shared" ca="1" si="24"/>
        <v>Sheets("Standards Input").Range("G69").Value</v>
      </c>
      <c r="S75" t="s">
        <v>398</v>
      </c>
      <c r="T75" t="s">
        <v>448</v>
      </c>
      <c r="U75" t="str">
        <f t="shared" ca="1" si="16"/>
        <v>Sheets("Master Data").Range("BP" &amp; RowNo).Value</v>
      </c>
      <c r="V75" t="str">
        <f t="shared" ca="1" si="25"/>
        <v>Sheets("Multi Attributes Input").Range("Retail Space").Value</v>
      </c>
      <c r="X75" t="str">
        <f t="shared" ca="1" si="17"/>
        <v>Sheets("Master Data").Range("BP" &amp; RowNo).Value = Sheets("Standards Input").Range("G69").Value</v>
      </c>
      <c r="Z75" t="str">
        <f t="shared" ca="1" si="18"/>
        <v>Sheets("Standards Input").Range("G69").Value = Sheets("Master Data").Range("BP" &amp; RowNo).Value</v>
      </c>
      <c r="AB75" t="str">
        <f t="shared" ca="1" si="26"/>
        <v>Sheets("Multi Attributes Input").Range("Retail Space").Value = Sheets("Standards Input").Range("G69").Value</v>
      </c>
      <c r="AD75" t="str">
        <f t="shared" ca="1" si="12"/>
        <v>Sheets("Master Data").Range("BP" &amp; RowNo).Value = Sheets("Multi Attributes Input").Range("Retail Space").Value</v>
      </c>
    </row>
    <row r="76" spans="1:30" ht="15" x14ac:dyDescent="0.25">
      <c r="A76" s="150">
        <v>69</v>
      </c>
      <c r="B76" s="150" t="str">
        <f t="shared" si="19"/>
        <v>BQ1</v>
      </c>
      <c r="D76" t="s">
        <v>416</v>
      </c>
      <c r="E76" t="str">
        <f t="shared" ca="1" si="20"/>
        <v>BQ</v>
      </c>
      <c r="F76" t="str">
        <f t="shared" ca="1" si="14"/>
        <v/>
      </c>
      <c r="G76" t="s">
        <v>417</v>
      </c>
      <c r="H76" t="s">
        <v>421</v>
      </c>
      <c r="I76" t="str">
        <f t="shared" ca="1" si="21"/>
        <v>G71</v>
      </c>
      <c r="J76" t="str">
        <f t="shared" ca="1" si="22"/>
        <v>Recreational / Leisure</v>
      </c>
      <c r="K76" t="s">
        <v>431</v>
      </c>
      <c r="L76" s="150" t="s">
        <v>423</v>
      </c>
      <c r="M76" s="150" t="s">
        <v>435</v>
      </c>
      <c r="N76" t="str">
        <f t="shared" ca="1" si="23"/>
        <v>Recreational / Leisure</v>
      </c>
      <c r="O76" s="150" t="s">
        <v>412</v>
      </c>
      <c r="P76" s="150" t="s">
        <v>428</v>
      </c>
      <c r="Q76" s="150" t="s">
        <v>399</v>
      </c>
      <c r="R76" t="str">
        <f t="shared" ca="1" si="24"/>
        <v>Sheets("Standards Input").Range("G71").Value</v>
      </c>
      <c r="S76" t="s">
        <v>398</v>
      </c>
      <c r="T76" t="s">
        <v>448</v>
      </c>
      <c r="U76" t="str">
        <f t="shared" ca="1" si="16"/>
        <v>Sheets("Master Data").Range("BQ" &amp; RowNo).Value</v>
      </c>
      <c r="V76" t="str">
        <f t="shared" ca="1" si="25"/>
        <v>Sheets("Multi Attributes Input").Range("Recreational / Leisure").Value</v>
      </c>
      <c r="X76" t="str">
        <f t="shared" ca="1" si="17"/>
        <v>Sheets("Master Data").Range("BQ" &amp; RowNo).Value = Sheets("Standards Input").Range("G71").Value</v>
      </c>
      <c r="Z76" t="str">
        <f t="shared" ca="1" si="18"/>
        <v>Sheets("Standards Input").Range("G71").Value = Sheets("Master Data").Range("BQ" &amp; RowNo).Value</v>
      </c>
      <c r="AB76" t="str">
        <f t="shared" ca="1" si="26"/>
        <v>Sheets("Multi Attributes Input").Range("Recreational / Leisure").Value = Sheets("Standards Input").Range("G71").Value</v>
      </c>
      <c r="AD76" t="str">
        <f t="shared" ca="1" si="12"/>
        <v>Sheets("Master Data").Range("BQ" &amp; RowNo).Value = Sheets("Multi Attributes Input").Range("Recreational / Leisure").Value</v>
      </c>
    </row>
    <row r="77" spans="1:30" ht="15" x14ac:dyDescent="0.25">
      <c r="A77" s="150">
        <v>70</v>
      </c>
      <c r="B77" s="150" t="str">
        <f t="shared" si="19"/>
        <v>BR1</v>
      </c>
      <c r="D77" t="s">
        <v>416</v>
      </c>
      <c r="E77" t="str">
        <f t="shared" ca="1" si="20"/>
        <v>BR</v>
      </c>
      <c r="F77" t="str">
        <f t="shared" ca="1" si="14"/>
        <v/>
      </c>
      <c r="G77" t="s">
        <v>417</v>
      </c>
      <c r="H77" t="s">
        <v>421</v>
      </c>
      <c r="I77" t="str">
        <f t="shared" ca="1" si="21"/>
        <v>G73</v>
      </c>
      <c r="J77" t="str">
        <f t="shared" ca="1" si="22"/>
        <v>Changing Rooms</v>
      </c>
      <c r="K77" t="s">
        <v>431</v>
      </c>
      <c r="L77" s="150" t="s">
        <v>423</v>
      </c>
      <c r="M77" s="150" t="s">
        <v>435</v>
      </c>
      <c r="N77" t="str">
        <f t="shared" ca="1" si="23"/>
        <v>Changing Rooms</v>
      </c>
      <c r="O77" s="150" t="s">
        <v>412</v>
      </c>
      <c r="P77" s="150" t="s">
        <v>428</v>
      </c>
      <c r="Q77" s="150" t="s">
        <v>399</v>
      </c>
      <c r="R77" t="str">
        <f t="shared" ca="1" si="24"/>
        <v>Sheets("Standards Input").Range("G73").Value</v>
      </c>
      <c r="S77" t="s">
        <v>398</v>
      </c>
      <c r="T77" t="s">
        <v>448</v>
      </c>
      <c r="U77" t="str">
        <f t="shared" ca="1" si="16"/>
        <v>Sheets("Master Data").Range("BR" &amp; RowNo).Value</v>
      </c>
      <c r="V77" t="str">
        <f t="shared" ca="1" si="25"/>
        <v>Sheets("Multi Attributes Input").Range("Changing Rooms").Value</v>
      </c>
      <c r="X77" t="str">
        <f t="shared" ca="1" si="17"/>
        <v>Sheets("Master Data").Range("BR" &amp; RowNo).Value = Sheets("Standards Input").Range("G73").Value</v>
      </c>
      <c r="Z77" t="str">
        <f t="shared" ca="1" si="18"/>
        <v>Sheets("Standards Input").Range("G73").Value = Sheets("Master Data").Range("BR" &amp; RowNo).Value</v>
      </c>
      <c r="AB77" t="str">
        <f t="shared" ca="1" si="26"/>
        <v>Sheets("Multi Attributes Input").Range("Changing Rooms").Value = Sheets("Standards Input").Range("G73").Value</v>
      </c>
      <c r="AD77" t="str">
        <f t="shared" ca="1" si="12"/>
        <v>Sheets("Master Data").Range("BR" &amp; RowNo).Value = Sheets("Multi Attributes Input").Range("Changing Rooms").Value</v>
      </c>
    </row>
    <row r="78" spans="1:30" ht="15" x14ac:dyDescent="0.25">
      <c r="A78" s="150">
        <v>71</v>
      </c>
      <c r="B78" s="150" t="str">
        <f t="shared" si="19"/>
        <v>BS1</v>
      </c>
      <c r="D78" t="s">
        <v>416</v>
      </c>
      <c r="E78" t="str">
        <f t="shared" ca="1" si="20"/>
        <v>BS</v>
      </c>
      <c r="F78" t="str">
        <f t="shared" ca="1" si="14"/>
        <v/>
      </c>
      <c r="G78" t="s">
        <v>417</v>
      </c>
      <c r="H78" t="s">
        <v>421</v>
      </c>
      <c r="I78" t="str">
        <f t="shared" ca="1" si="21"/>
        <v>G75</v>
      </c>
      <c r="J78" t="str">
        <f t="shared" ca="1" si="22"/>
        <v>Fitness/Gym</v>
      </c>
      <c r="K78" t="s">
        <v>431</v>
      </c>
      <c r="L78" s="150" t="s">
        <v>423</v>
      </c>
      <c r="M78" s="150" t="s">
        <v>435</v>
      </c>
      <c r="N78" t="str">
        <f t="shared" ca="1" si="23"/>
        <v>Fitness/Gym</v>
      </c>
      <c r="O78" s="150" t="s">
        <v>412</v>
      </c>
      <c r="P78" s="150" t="s">
        <v>428</v>
      </c>
      <c r="Q78" s="150" t="s">
        <v>399</v>
      </c>
      <c r="R78" t="str">
        <f t="shared" ca="1" si="24"/>
        <v>Sheets("Standards Input").Range("G75").Value</v>
      </c>
      <c r="S78" t="s">
        <v>398</v>
      </c>
      <c r="T78" t="s">
        <v>448</v>
      </c>
      <c r="U78" t="str">
        <f t="shared" ca="1" si="16"/>
        <v>Sheets("Master Data").Range("BS" &amp; RowNo).Value</v>
      </c>
      <c r="V78" t="str">
        <f t="shared" ca="1" si="25"/>
        <v>Sheets("Multi Attributes Input").Range("Fitness/Gym").Value</v>
      </c>
      <c r="X78" t="str">
        <f t="shared" ca="1" si="17"/>
        <v>Sheets("Master Data").Range("BS" &amp; RowNo).Value = Sheets("Standards Input").Range("G75").Value</v>
      </c>
      <c r="Z78" t="str">
        <f t="shared" ca="1" si="18"/>
        <v>Sheets("Standards Input").Range("G75").Value = Sheets("Master Data").Range("BS" &amp; RowNo).Value</v>
      </c>
      <c r="AB78" t="str">
        <f t="shared" ca="1" si="26"/>
        <v>Sheets("Multi Attributes Input").Range("Fitness/Gym").Value = Sheets("Standards Input").Range("G75").Value</v>
      </c>
      <c r="AD78" t="str">
        <f t="shared" ca="1" si="12"/>
        <v>Sheets("Master Data").Range("BS" &amp; RowNo).Value = Sheets("Multi Attributes Input").Range("Fitness/Gym").Value</v>
      </c>
    </row>
    <row r="79" spans="1:30" ht="15" x14ac:dyDescent="0.25">
      <c r="A79" s="150">
        <v>72</v>
      </c>
      <c r="B79" s="150" t="str">
        <f t="shared" si="19"/>
        <v>BT1</v>
      </c>
      <c r="D79" t="s">
        <v>416</v>
      </c>
      <c r="E79" t="str">
        <f t="shared" ca="1" si="20"/>
        <v>BT</v>
      </c>
      <c r="F79" t="str">
        <f t="shared" ca="1" si="14"/>
        <v/>
      </c>
      <c r="G79" t="s">
        <v>417</v>
      </c>
      <c r="H79" t="s">
        <v>421</v>
      </c>
      <c r="I79" t="str">
        <f t="shared" ca="1" si="21"/>
        <v>G77</v>
      </c>
      <c r="J79" t="str">
        <f t="shared" ca="1" si="22"/>
        <v>Game Room</v>
      </c>
      <c r="K79" t="s">
        <v>431</v>
      </c>
      <c r="L79" s="150" t="s">
        <v>423</v>
      </c>
      <c r="M79" s="150" t="s">
        <v>435</v>
      </c>
      <c r="N79" t="str">
        <f t="shared" ca="1" si="23"/>
        <v>Game Room</v>
      </c>
      <c r="O79" s="150" t="s">
        <v>412</v>
      </c>
      <c r="P79" s="150" t="s">
        <v>428</v>
      </c>
      <c r="Q79" s="150" t="s">
        <v>399</v>
      </c>
      <c r="R79" t="str">
        <f t="shared" ca="1" si="24"/>
        <v>Sheets("Standards Input").Range("G77").Value</v>
      </c>
      <c r="S79" t="s">
        <v>398</v>
      </c>
      <c r="T79" t="s">
        <v>448</v>
      </c>
      <c r="U79" t="str">
        <f t="shared" ca="1" si="16"/>
        <v>Sheets("Master Data").Range("BT" &amp; RowNo).Value</v>
      </c>
      <c r="V79" t="str">
        <f t="shared" ca="1" si="25"/>
        <v>Sheets("Multi Attributes Input").Range("Game Room").Value</v>
      </c>
      <c r="X79" t="str">
        <f t="shared" ca="1" si="17"/>
        <v>Sheets("Master Data").Range("BT" &amp; RowNo).Value = Sheets("Standards Input").Range("G77").Value</v>
      </c>
      <c r="Z79" t="str">
        <f t="shared" ca="1" si="18"/>
        <v>Sheets("Standards Input").Range("G77").Value = Sheets("Master Data").Range("BT" &amp; RowNo).Value</v>
      </c>
      <c r="AB79" t="str">
        <f t="shared" ca="1" si="26"/>
        <v>Sheets("Multi Attributes Input").Range("Game Room").Value = Sheets("Standards Input").Range("G77").Value</v>
      </c>
      <c r="AD79" t="str">
        <f t="shared" ca="1" si="12"/>
        <v>Sheets("Master Data").Range("BT" &amp; RowNo).Value = Sheets("Multi Attributes Input").Range("Game Room").Value</v>
      </c>
    </row>
    <row r="80" spans="1:30" ht="15" x14ac:dyDescent="0.25">
      <c r="A80" s="150">
        <v>73</v>
      </c>
      <c r="B80" s="150" t="str">
        <f t="shared" si="19"/>
        <v>BU1</v>
      </c>
      <c r="D80" t="s">
        <v>416</v>
      </c>
      <c r="E80" t="str">
        <f t="shared" ca="1" si="20"/>
        <v>BU</v>
      </c>
      <c r="F80" t="str">
        <f t="shared" ca="1" si="14"/>
        <v/>
      </c>
      <c r="G80" t="s">
        <v>417</v>
      </c>
      <c r="H80" t="s">
        <v>421</v>
      </c>
      <c r="I80" t="str">
        <f t="shared" ca="1" si="21"/>
        <v>G79</v>
      </c>
      <c r="J80" t="str">
        <f t="shared" ca="1" si="22"/>
        <v>Pool (Outdoor &amp; Indoor)</v>
      </c>
      <c r="K80" t="s">
        <v>431</v>
      </c>
      <c r="L80" s="150" t="s">
        <v>423</v>
      </c>
      <c r="M80" s="150" t="s">
        <v>435</v>
      </c>
      <c r="N80" t="str">
        <f t="shared" ca="1" si="23"/>
        <v>Pool (Outdoor &amp; Indoor)</v>
      </c>
      <c r="O80" s="150" t="s">
        <v>412</v>
      </c>
      <c r="P80" s="150" t="s">
        <v>428</v>
      </c>
      <c r="Q80" s="150" t="s">
        <v>399</v>
      </c>
      <c r="R80" t="str">
        <f t="shared" ca="1" si="24"/>
        <v>Sheets("Standards Input").Range("G79").Value</v>
      </c>
      <c r="S80" t="s">
        <v>398</v>
      </c>
      <c r="T80" t="s">
        <v>448</v>
      </c>
      <c r="U80" t="str">
        <f t="shared" ca="1" si="16"/>
        <v>Sheets("Master Data").Range("BU" &amp; RowNo).Value</v>
      </c>
      <c r="V80" t="str">
        <f t="shared" ca="1" si="25"/>
        <v>Sheets("Multi Attributes Input").Range("Pool (Outdoor &amp; Indoor)").Value</v>
      </c>
      <c r="X80" t="str">
        <f t="shared" ca="1" si="17"/>
        <v>Sheets("Master Data").Range("BU" &amp; RowNo).Value = Sheets("Standards Input").Range("G79").Value</v>
      </c>
      <c r="Z80" t="str">
        <f t="shared" ca="1" si="18"/>
        <v>Sheets("Standards Input").Range("G79").Value = Sheets("Master Data").Range("BU" &amp; RowNo).Value</v>
      </c>
      <c r="AB80" t="str">
        <f t="shared" ca="1" si="26"/>
        <v>Sheets("Multi Attributes Input").Range("Pool (Outdoor &amp; Indoor)").Value = Sheets("Standards Input").Range("G79").Value</v>
      </c>
      <c r="AD80" t="str">
        <f t="shared" ca="1" si="12"/>
        <v>Sheets("Master Data").Range("BU" &amp; RowNo).Value = Sheets("Multi Attributes Input").Range("Pool (Outdoor &amp; Indoor)").Value</v>
      </c>
    </row>
    <row r="81" spans="1:30" ht="15" x14ac:dyDescent="0.25">
      <c r="A81" s="150">
        <v>74</v>
      </c>
      <c r="B81" s="150" t="str">
        <f t="shared" si="19"/>
        <v>BV1</v>
      </c>
      <c r="D81" t="s">
        <v>416</v>
      </c>
      <c r="E81" t="str">
        <f t="shared" ca="1" si="20"/>
        <v>BV</v>
      </c>
      <c r="F81" t="str">
        <f t="shared" ca="1" si="14"/>
        <v/>
      </c>
      <c r="G81" t="s">
        <v>417</v>
      </c>
      <c r="H81" t="s">
        <v>421</v>
      </c>
      <c r="I81" t="str">
        <f t="shared" ca="1" si="21"/>
        <v>G81</v>
      </c>
      <c r="J81" t="str">
        <f t="shared" ca="1" si="22"/>
        <v>Sauna</v>
      </c>
      <c r="K81" t="s">
        <v>431</v>
      </c>
      <c r="L81" s="150" t="s">
        <v>423</v>
      </c>
      <c r="M81" s="150" t="s">
        <v>435</v>
      </c>
      <c r="N81" t="str">
        <f t="shared" ca="1" si="23"/>
        <v>Sauna</v>
      </c>
      <c r="O81" s="150" t="s">
        <v>412</v>
      </c>
      <c r="P81" s="150" t="s">
        <v>428</v>
      </c>
      <c r="Q81" s="150" t="s">
        <v>399</v>
      </c>
      <c r="R81" t="str">
        <f t="shared" ca="1" si="24"/>
        <v>Sheets("Standards Input").Range("G81").Value</v>
      </c>
      <c r="S81" t="s">
        <v>398</v>
      </c>
      <c r="T81" t="s">
        <v>448</v>
      </c>
      <c r="U81" t="str">
        <f t="shared" ca="1" si="16"/>
        <v>Sheets("Master Data").Range("BV" &amp; RowNo).Value</v>
      </c>
      <c r="V81" t="str">
        <f t="shared" ca="1" si="25"/>
        <v>Sheets("Multi Attributes Input").Range("Sauna").Value</v>
      </c>
      <c r="X81" t="str">
        <f t="shared" ca="1" si="17"/>
        <v>Sheets("Master Data").Range("BV" &amp; RowNo).Value = Sheets("Standards Input").Range("G81").Value</v>
      </c>
      <c r="Z81" t="str">
        <f t="shared" ca="1" si="18"/>
        <v>Sheets("Standards Input").Range("G81").Value = Sheets("Master Data").Range("BV" &amp; RowNo).Value</v>
      </c>
      <c r="AB81" t="str">
        <f t="shared" ca="1" si="26"/>
        <v>Sheets("Multi Attributes Input").Range("Sauna").Value = Sheets("Standards Input").Range("G81").Value</v>
      </c>
      <c r="AD81" t="str">
        <f t="shared" ref="AD81:AD144" ca="1" si="27">CONCATENATE(U81,O81,V81)</f>
        <v>Sheets("Master Data").Range("BV" &amp; RowNo).Value = Sheets("Multi Attributes Input").Range("Sauna").Value</v>
      </c>
    </row>
    <row r="82" spans="1:30" ht="15" x14ac:dyDescent="0.25">
      <c r="A82" s="150">
        <v>75</v>
      </c>
      <c r="B82" s="150" t="str">
        <f t="shared" si="19"/>
        <v>BW1</v>
      </c>
      <c r="D82" t="s">
        <v>416</v>
      </c>
      <c r="E82" t="str">
        <f t="shared" ca="1" si="20"/>
        <v>BW</v>
      </c>
      <c r="F82" t="str">
        <f t="shared" ca="1" si="14"/>
        <v/>
      </c>
      <c r="G82" t="s">
        <v>417</v>
      </c>
      <c r="H82" t="s">
        <v>421</v>
      </c>
      <c r="I82" t="str">
        <f t="shared" ca="1" si="21"/>
        <v>G83</v>
      </c>
      <c r="J82" t="str">
        <f t="shared" ca="1" si="22"/>
        <v>Spa</v>
      </c>
      <c r="K82" t="s">
        <v>431</v>
      </c>
      <c r="L82" s="150" t="s">
        <v>423</v>
      </c>
      <c r="M82" s="150" t="s">
        <v>435</v>
      </c>
      <c r="N82" t="str">
        <f t="shared" ca="1" si="23"/>
        <v>Spa</v>
      </c>
      <c r="O82" s="150" t="s">
        <v>412</v>
      </c>
      <c r="P82" s="150" t="s">
        <v>428</v>
      </c>
      <c r="Q82" s="150" t="s">
        <v>399</v>
      </c>
      <c r="R82" t="str">
        <f t="shared" ca="1" si="24"/>
        <v>Sheets("Standards Input").Range("G83").Value</v>
      </c>
      <c r="S82" t="s">
        <v>398</v>
      </c>
      <c r="T82" t="s">
        <v>448</v>
      </c>
      <c r="U82" t="str">
        <f t="shared" ca="1" si="16"/>
        <v>Sheets("Master Data").Range("BW" &amp; RowNo).Value</v>
      </c>
      <c r="V82" t="str">
        <f t="shared" ca="1" si="25"/>
        <v>Sheets("Multi Attributes Input").Range("Spa").Value</v>
      </c>
      <c r="X82" t="str">
        <f t="shared" ca="1" si="17"/>
        <v>Sheets("Master Data").Range("BW" &amp; RowNo).Value = Sheets("Standards Input").Range("G83").Value</v>
      </c>
      <c r="Z82" t="str">
        <f t="shared" ca="1" si="18"/>
        <v>Sheets("Standards Input").Range("G83").Value = Sheets("Master Data").Range("BW" &amp; RowNo).Value</v>
      </c>
      <c r="AB82" t="str">
        <f t="shared" ca="1" si="26"/>
        <v>Sheets("Multi Attributes Input").Range("Spa").Value = Sheets("Standards Input").Range("G83").Value</v>
      </c>
      <c r="AD82" t="str">
        <f t="shared" ca="1" si="27"/>
        <v>Sheets("Master Data").Range("BW" &amp; RowNo).Value = Sheets("Multi Attributes Input").Range("Spa").Value</v>
      </c>
    </row>
    <row r="83" spans="1:30" ht="15" x14ac:dyDescent="0.25">
      <c r="A83" s="150">
        <v>76</v>
      </c>
      <c r="B83" s="150" t="str">
        <f t="shared" si="19"/>
        <v>BX1</v>
      </c>
      <c r="D83" t="s">
        <v>416</v>
      </c>
      <c r="E83" t="str">
        <f t="shared" ca="1" si="20"/>
        <v>BX</v>
      </c>
      <c r="F83" t="str">
        <f t="shared" ca="1" si="14"/>
        <v/>
      </c>
      <c r="G83" t="s">
        <v>417</v>
      </c>
      <c r="H83" t="s">
        <v>421</v>
      </c>
      <c r="I83" t="str">
        <f t="shared" ca="1" si="21"/>
        <v>G85</v>
      </c>
      <c r="J83" t="str">
        <f t="shared" ca="1" si="22"/>
        <v>Sports Court</v>
      </c>
      <c r="K83" t="s">
        <v>431</v>
      </c>
      <c r="L83" s="150" t="s">
        <v>423</v>
      </c>
      <c r="M83" s="150" t="s">
        <v>435</v>
      </c>
      <c r="N83" t="str">
        <f t="shared" ca="1" si="23"/>
        <v>Sports Court</v>
      </c>
      <c r="O83" s="150" t="s">
        <v>412</v>
      </c>
      <c r="P83" s="150" t="s">
        <v>428</v>
      </c>
      <c r="Q83" s="150" t="s">
        <v>399</v>
      </c>
      <c r="R83" t="str">
        <f t="shared" ca="1" si="24"/>
        <v>Sheets("Standards Input").Range("G85").Value</v>
      </c>
      <c r="S83" t="s">
        <v>398</v>
      </c>
      <c r="T83" t="s">
        <v>448</v>
      </c>
      <c r="U83" t="str">
        <f t="shared" ca="1" si="16"/>
        <v>Sheets("Master Data").Range("BX" &amp; RowNo).Value</v>
      </c>
      <c r="V83" t="str">
        <f t="shared" ca="1" si="25"/>
        <v>Sheets("Multi Attributes Input").Range("Sports Court").Value</v>
      </c>
      <c r="X83" t="str">
        <f t="shared" ca="1" si="17"/>
        <v>Sheets("Master Data").Range("BX" &amp; RowNo).Value = Sheets("Standards Input").Range("G85").Value</v>
      </c>
      <c r="Z83" t="str">
        <f t="shared" ca="1" si="18"/>
        <v>Sheets("Standards Input").Range("G85").Value = Sheets("Master Data").Range("BX" &amp; RowNo).Value</v>
      </c>
      <c r="AB83" t="str">
        <f t="shared" ca="1" si="26"/>
        <v>Sheets("Multi Attributes Input").Range("Sports Court").Value = Sheets("Standards Input").Range("G85").Value</v>
      </c>
      <c r="AD83" t="str">
        <f t="shared" ca="1" si="27"/>
        <v>Sheets("Master Data").Range("BX" &amp; RowNo).Value = Sheets("Multi Attributes Input").Range("Sports Court").Value</v>
      </c>
    </row>
    <row r="84" spans="1:30" ht="15" x14ac:dyDescent="0.25">
      <c r="A84" s="150">
        <v>77</v>
      </c>
      <c r="B84" s="150" t="str">
        <f t="shared" si="19"/>
        <v>BY1</v>
      </c>
      <c r="D84" t="s">
        <v>416</v>
      </c>
      <c r="E84" t="str">
        <f t="shared" ca="1" si="20"/>
        <v>BY</v>
      </c>
      <c r="F84" t="str">
        <f t="shared" ref="F84:F147" ca="1" si="28">SUBSTITUTE(INDIRECT("'Master Data'!" &amp; E84 &amp; 4)," ","_")</f>
        <v/>
      </c>
      <c r="G84" t="s">
        <v>417</v>
      </c>
      <c r="H84" t="s">
        <v>421</v>
      </c>
      <c r="I84" t="str">
        <f t="shared" ca="1" si="21"/>
        <v>G87</v>
      </c>
      <c r="J84" t="str">
        <f t="shared" ca="1" si="22"/>
        <v>Steam Room</v>
      </c>
      <c r="K84" t="s">
        <v>431</v>
      </c>
      <c r="L84" s="150" t="s">
        <v>423</v>
      </c>
      <c r="M84" s="150" t="s">
        <v>435</v>
      </c>
      <c r="N84" t="str">
        <f t="shared" ca="1" si="23"/>
        <v>Steam Room</v>
      </c>
      <c r="O84" s="150" t="s">
        <v>412</v>
      </c>
      <c r="P84" s="150" t="s">
        <v>428</v>
      </c>
      <c r="Q84" s="150" t="s">
        <v>399</v>
      </c>
      <c r="R84" t="str">
        <f t="shared" ca="1" si="24"/>
        <v>Sheets("Standards Input").Range("G87").Value</v>
      </c>
      <c r="S84" t="s">
        <v>398</v>
      </c>
      <c r="T84" t="s">
        <v>448</v>
      </c>
      <c r="U84" t="str">
        <f t="shared" ca="1" si="16"/>
        <v>Sheets("Master Data").Range("BY" &amp; RowNo).Value</v>
      </c>
      <c r="V84" t="str">
        <f t="shared" ca="1" si="25"/>
        <v>Sheets("Multi Attributes Input").Range("Steam Room").Value</v>
      </c>
      <c r="X84" t="str">
        <f t="shared" ca="1" si="17"/>
        <v>Sheets("Master Data").Range("BY" &amp; RowNo).Value = Sheets("Standards Input").Range("G87").Value</v>
      </c>
      <c r="Z84" t="str">
        <f t="shared" ca="1" si="18"/>
        <v>Sheets("Standards Input").Range("G87").Value = Sheets("Master Data").Range("BY" &amp; RowNo).Value</v>
      </c>
      <c r="AB84" t="str">
        <f t="shared" ca="1" si="26"/>
        <v>Sheets("Multi Attributes Input").Range("Steam Room").Value = Sheets("Standards Input").Range("G87").Value</v>
      </c>
      <c r="AD84" t="str">
        <f t="shared" ca="1" si="27"/>
        <v>Sheets("Master Data").Range("BY" &amp; RowNo).Value = Sheets("Multi Attributes Input").Range("Steam Room").Value</v>
      </c>
    </row>
    <row r="85" spans="1:30" ht="15" x14ac:dyDescent="0.25">
      <c r="A85" s="150">
        <v>78</v>
      </c>
      <c r="B85" s="150" t="str">
        <f t="shared" si="19"/>
        <v>BZ1</v>
      </c>
      <c r="D85" t="s">
        <v>416</v>
      </c>
      <c r="E85" t="str">
        <f t="shared" ca="1" si="20"/>
        <v>BZ</v>
      </c>
      <c r="F85" t="str">
        <f t="shared" ca="1" si="28"/>
        <v/>
      </c>
      <c r="G85" t="s">
        <v>417</v>
      </c>
      <c r="H85" t="s">
        <v>421</v>
      </c>
      <c r="I85" t="str">
        <f t="shared" ca="1" si="21"/>
        <v>G89</v>
      </c>
      <c r="J85" t="str">
        <f t="shared" ca="1" si="22"/>
        <v>Whirlpool (Outdoor &amp; Indoor)</v>
      </c>
      <c r="K85" t="s">
        <v>431</v>
      </c>
      <c r="L85" s="150" t="s">
        <v>423</v>
      </c>
      <c r="M85" s="150" t="s">
        <v>435</v>
      </c>
      <c r="N85" t="str">
        <f t="shared" ca="1" si="23"/>
        <v>Whirlpool (Outdoor &amp; Indoor)</v>
      </c>
      <c r="O85" s="150" t="s">
        <v>412</v>
      </c>
      <c r="P85" s="150" t="s">
        <v>428</v>
      </c>
      <c r="Q85" s="150" t="s">
        <v>399</v>
      </c>
      <c r="R85" t="str">
        <f t="shared" ca="1" si="24"/>
        <v>Sheets("Standards Input").Range("G89").Value</v>
      </c>
      <c r="S85" t="s">
        <v>398</v>
      </c>
      <c r="T85" t="s">
        <v>448</v>
      </c>
      <c r="U85" t="str">
        <f t="shared" ca="1" si="16"/>
        <v>Sheets("Master Data").Range("BZ" &amp; RowNo).Value</v>
      </c>
      <c r="V85" t="str">
        <f t="shared" ca="1" si="25"/>
        <v>Sheets("Multi Attributes Input").Range("Whirlpool (Outdoor &amp; Indoor)").Value</v>
      </c>
      <c r="X85" t="str">
        <f t="shared" ca="1" si="17"/>
        <v>Sheets("Master Data").Range("BZ" &amp; RowNo).Value = Sheets("Standards Input").Range("G89").Value</v>
      </c>
      <c r="Z85" t="str">
        <f t="shared" ca="1" si="18"/>
        <v>Sheets("Standards Input").Range("G89").Value = Sheets("Master Data").Range("BZ" &amp; RowNo).Value</v>
      </c>
      <c r="AB85" t="str">
        <f t="shared" ca="1" si="26"/>
        <v>Sheets("Multi Attributes Input").Range("Whirlpool (Outdoor &amp; Indoor)").Value = Sheets("Standards Input").Range("G89").Value</v>
      </c>
      <c r="AD85" t="str">
        <f t="shared" ca="1" si="27"/>
        <v>Sheets("Master Data").Range("BZ" &amp; RowNo).Value = Sheets("Multi Attributes Input").Range("Whirlpool (Outdoor &amp; Indoor)").Value</v>
      </c>
    </row>
    <row r="86" spans="1:30" ht="15" x14ac:dyDescent="0.25">
      <c r="A86" s="150">
        <v>79</v>
      </c>
      <c r="B86" s="150" t="str">
        <f t="shared" si="19"/>
        <v>CA1</v>
      </c>
      <c r="D86" t="s">
        <v>416</v>
      </c>
      <c r="E86">
        <f t="shared" ca="1" si="20"/>
        <v>0</v>
      </c>
      <c r="F86" t="e">
        <f t="shared" ca="1" si="28"/>
        <v>#REF!</v>
      </c>
      <c r="G86" t="s">
        <v>417</v>
      </c>
      <c r="H86" t="s">
        <v>421</v>
      </c>
      <c r="I86" t="e">
        <f t="shared" ca="1" si="21"/>
        <v>#REF!</v>
      </c>
      <c r="J86" t="e">
        <f t="shared" ca="1" si="22"/>
        <v>#REF!</v>
      </c>
      <c r="K86" t="s">
        <v>431</v>
      </c>
      <c r="L86" s="150" t="s">
        <v>423</v>
      </c>
      <c r="M86" s="150" t="s">
        <v>435</v>
      </c>
      <c r="N86" t="e">
        <f t="shared" ca="1" si="23"/>
        <v>#REF!</v>
      </c>
      <c r="O86" s="150" t="s">
        <v>412</v>
      </c>
      <c r="P86" s="150" t="s">
        <v>428</v>
      </c>
      <c r="Q86" s="150" t="s">
        <v>399</v>
      </c>
      <c r="R86" t="e">
        <f t="shared" ca="1" si="24"/>
        <v>#REF!</v>
      </c>
      <c r="S86" t="s">
        <v>398</v>
      </c>
      <c r="T86" t="s">
        <v>448</v>
      </c>
      <c r="U86" t="str">
        <f t="shared" ca="1" si="16"/>
        <v>Sheets("Master Data").Range("0" &amp; RowNo).Value</v>
      </c>
      <c r="V86" t="e">
        <f t="shared" ca="1" si="25"/>
        <v>#REF!</v>
      </c>
      <c r="X86" t="e">
        <f t="shared" ca="1" si="17"/>
        <v>#REF!</v>
      </c>
      <c r="Z86" t="e">
        <f t="shared" ca="1" si="18"/>
        <v>#REF!</v>
      </c>
      <c r="AB86" t="e">
        <f t="shared" ca="1" si="26"/>
        <v>#REF!</v>
      </c>
      <c r="AD86" t="e">
        <f t="shared" ca="1" si="27"/>
        <v>#REF!</v>
      </c>
    </row>
    <row r="87" spans="1:30" ht="15" x14ac:dyDescent="0.25">
      <c r="A87" s="150">
        <v>80</v>
      </c>
      <c r="B87" s="150" t="str">
        <f t="shared" si="19"/>
        <v>CB1</v>
      </c>
      <c r="D87" t="s">
        <v>416</v>
      </c>
      <c r="E87">
        <f t="shared" ca="1" si="20"/>
        <v>0</v>
      </c>
      <c r="F87" t="e">
        <f t="shared" ca="1" si="28"/>
        <v>#REF!</v>
      </c>
      <c r="G87" t="s">
        <v>417</v>
      </c>
      <c r="H87" t="s">
        <v>421</v>
      </c>
      <c r="I87" t="e">
        <f t="shared" ca="1" si="21"/>
        <v>#REF!</v>
      </c>
      <c r="J87" t="e">
        <f t="shared" ca="1" si="22"/>
        <v>#REF!</v>
      </c>
      <c r="K87" t="s">
        <v>431</v>
      </c>
      <c r="L87" s="150" t="s">
        <v>423</v>
      </c>
      <c r="M87" s="150" t="s">
        <v>435</v>
      </c>
      <c r="N87" t="e">
        <f t="shared" ca="1" si="23"/>
        <v>#REF!</v>
      </c>
      <c r="O87" s="150" t="s">
        <v>412</v>
      </c>
      <c r="P87" s="150" t="s">
        <v>428</v>
      </c>
      <c r="Q87" s="150" t="s">
        <v>399</v>
      </c>
      <c r="R87" t="e">
        <f t="shared" ca="1" si="24"/>
        <v>#REF!</v>
      </c>
      <c r="S87" t="s">
        <v>398</v>
      </c>
      <c r="T87" t="s">
        <v>448</v>
      </c>
      <c r="U87" t="str">
        <f t="shared" ca="1" si="16"/>
        <v>Sheets("Master Data").Range("0" &amp; RowNo).Value</v>
      </c>
      <c r="V87" t="e">
        <f t="shared" ca="1" si="25"/>
        <v>#REF!</v>
      </c>
      <c r="X87" t="e">
        <f t="shared" ca="1" si="17"/>
        <v>#REF!</v>
      </c>
      <c r="Z87" t="e">
        <f t="shared" ca="1" si="18"/>
        <v>#REF!</v>
      </c>
      <c r="AB87" t="e">
        <f t="shared" ca="1" si="26"/>
        <v>#REF!</v>
      </c>
      <c r="AD87" t="e">
        <f t="shared" ca="1" si="27"/>
        <v>#REF!</v>
      </c>
    </row>
    <row r="88" spans="1:30" ht="15" x14ac:dyDescent="0.25">
      <c r="A88" s="150">
        <v>81</v>
      </c>
      <c r="B88" s="150" t="str">
        <f t="shared" si="19"/>
        <v>CC1</v>
      </c>
      <c r="D88" t="s">
        <v>416</v>
      </c>
      <c r="E88">
        <f t="shared" ca="1" si="20"/>
        <v>0</v>
      </c>
      <c r="F88" t="e">
        <f t="shared" ca="1" si="28"/>
        <v>#REF!</v>
      </c>
      <c r="G88" t="s">
        <v>417</v>
      </c>
      <c r="H88" t="s">
        <v>421</v>
      </c>
      <c r="I88" t="e">
        <f t="shared" ca="1" si="21"/>
        <v>#REF!</v>
      </c>
      <c r="J88" t="e">
        <f t="shared" ca="1" si="22"/>
        <v>#REF!</v>
      </c>
      <c r="K88" t="s">
        <v>431</v>
      </c>
      <c r="L88" s="150" t="s">
        <v>423</v>
      </c>
      <c r="M88" s="150" t="s">
        <v>435</v>
      </c>
      <c r="N88" t="e">
        <f t="shared" ca="1" si="23"/>
        <v>#REF!</v>
      </c>
      <c r="O88" s="150" t="s">
        <v>412</v>
      </c>
      <c r="P88" s="150" t="s">
        <v>428</v>
      </c>
      <c r="Q88" s="150" t="s">
        <v>399</v>
      </c>
      <c r="R88" t="e">
        <f t="shared" ca="1" si="24"/>
        <v>#REF!</v>
      </c>
      <c r="S88" t="s">
        <v>398</v>
      </c>
      <c r="T88" t="s">
        <v>448</v>
      </c>
      <c r="U88" t="str">
        <f t="shared" ca="1" si="16"/>
        <v>Sheets("Master Data").Range("0" &amp; RowNo).Value</v>
      </c>
      <c r="V88" t="e">
        <f t="shared" ca="1" si="25"/>
        <v>#REF!</v>
      </c>
      <c r="X88" t="e">
        <f t="shared" ca="1" si="17"/>
        <v>#REF!</v>
      </c>
      <c r="Z88" t="e">
        <f t="shared" ca="1" si="18"/>
        <v>#REF!</v>
      </c>
      <c r="AB88" t="e">
        <f t="shared" ca="1" si="26"/>
        <v>#REF!</v>
      </c>
      <c r="AD88" t="e">
        <f t="shared" ca="1" si="27"/>
        <v>#REF!</v>
      </c>
    </row>
    <row r="89" spans="1:30" ht="15" x14ac:dyDescent="0.25">
      <c r="A89" s="150">
        <v>82</v>
      </c>
      <c r="B89" s="150" t="str">
        <f t="shared" si="19"/>
        <v>CD1</v>
      </c>
      <c r="D89" t="s">
        <v>416</v>
      </c>
      <c r="E89">
        <f t="shared" ca="1" si="20"/>
        <v>0</v>
      </c>
      <c r="F89" t="e">
        <f t="shared" ca="1" si="28"/>
        <v>#REF!</v>
      </c>
      <c r="G89" t="s">
        <v>417</v>
      </c>
      <c r="H89" t="s">
        <v>421</v>
      </c>
      <c r="I89" t="e">
        <f t="shared" ca="1" si="21"/>
        <v>#REF!</v>
      </c>
      <c r="J89" t="e">
        <f t="shared" ca="1" si="22"/>
        <v>#REF!</v>
      </c>
      <c r="K89" t="s">
        <v>431</v>
      </c>
      <c r="L89" s="150" t="s">
        <v>423</v>
      </c>
      <c r="M89" s="150" t="s">
        <v>435</v>
      </c>
      <c r="N89" t="e">
        <f t="shared" ca="1" si="23"/>
        <v>#REF!</v>
      </c>
      <c r="O89" s="150" t="s">
        <v>412</v>
      </c>
      <c r="P89" s="150" t="s">
        <v>428</v>
      </c>
      <c r="Q89" s="150" t="s">
        <v>399</v>
      </c>
      <c r="R89" t="e">
        <f t="shared" ca="1" si="24"/>
        <v>#REF!</v>
      </c>
      <c r="S89" t="s">
        <v>398</v>
      </c>
      <c r="T89" t="s">
        <v>448</v>
      </c>
      <c r="U89" t="str">
        <f t="shared" ca="1" si="16"/>
        <v>Sheets("Master Data").Range("0" &amp; RowNo).Value</v>
      </c>
      <c r="V89" t="e">
        <f t="shared" ca="1" si="25"/>
        <v>#REF!</v>
      </c>
      <c r="X89" t="e">
        <f t="shared" ca="1" si="17"/>
        <v>#REF!</v>
      </c>
      <c r="Z89" t="e">
        <f t="shared" ca="1" si="18"/>
        <v>#REF!</v>
      </c>
      <c r="AB89" t="e">
        <f t="shared" ca="1" si="26"/>
        <v>#REF!</v>
      </c>
      <c r="AD89" t="e">
        <f t="shared" ca="1" si="27"/>
        <v>#REF!</v>
      </c>
    </row>
    <row r="90" spans="1:30" ht="15" x14ac:dyDescent="0.25">
      <c r="A90" s="150">
        <v>83</v>
      </c>
      <c r="B90" s="150" t="str">
        <f t="shared" si="19"/>
        <v>CE1</v>
      </c>
      <c r="D90" t="s">
        <v>416</v>
      </c>
      <c r="E90">
        <f t="shared" ca="1" si="20"/>
        <v>0</v>
      </c>
      <c r="F90" t="e">
        <f t="shared" ca="1" si="28"/>
        <v>#REF!</v>
      </c>
      <c r="G90" t="s">
        <v>417</v>
      </c>
      <c r="H90" t="s">
        <v>421</v>
      </c>
      <c r="I90" t="e">
        <f t="shared" ca="1" si="21"/>
        <v>#REF!</v>
      </c>
      <c r="J90" t="e">
        <f t="shared" ca="1" si="22"/>
        <v>#REF!</v>
      </c>
      <c r="K90" t="s">
        <v>431</v>
      </c>
      <c r="L90" s="150" t="s">
        <v>423</v>
      </c>
      <c r="M90" s="150" t="s">
        <v>435</v>
      </c>
      <c r="N90" t="e">
        <f t="shared" ca="1" si="23"/>
        <v>#REF!</v>
      </c>
      <c r="O90" s="150" t="s">
        <v>412</v>
      </c>
      <c r="P90" s="150" t="s">
        <v>428</v>
      </c>
      <c r="Q90" s="150" t="s">
        <v>399</v>
      </c>
      <c r="R90" t="e">
        <f t="shared" ca="1" si="24"/>
        <v>#REF!</v>
      </c>
      <c r="S90" t="s">
        <v>398</v>
      </c>
      <c r="T90" t="s">
        <v>448</v>
      </c>
      <c r="U90" t="str">
        <f t="shared" ca="1" si="16"/>
        <v>Sheets("Master Data").Range("0" &amp; RowNo).Value</v>
      </c>
      <c r="V90" t="e">
        <f t="shared" ca="1" si="25"/>
        <v>#REF!</v>
      </c>
      <c r="X90" t="e">
        <f t="shared" ca="1" si="17"/>
        <v>#REF!</v>
      </c>
      <c r="Z90" t="e">
        <f t="shared" ca="1" si="18"/>
        <v>#REF!</v>
      </c>
      <c r="AB90" t="e">
        <f t="shared" ca="1" si="26"/>
        <v>#REF!</v>
      </c>
      <c r="AD90" t="e">
        <f t="shared" ca="1" si="27"/>
        <v>#REF!</v>
      </c>
    </row>
    <row r="91" spans="1:30" ht="15" x14ac:dyDescent="0.25">
      <c r="A91" s="150">
        <v>84</v>
      </c>
      <c r="B91" s="150" t="str">
        <f t="shared" si="19"/>
        <v>CF1</v>
      </c>
      <c r="D91" t="s">
        <v>416</v>
      </c>
      <c r="E91">
        <f t="shared" ca="1" si="20"/>
        <v>0</v>
      </c>
      <c r="F91" t="e">
        <f t="shared" ca="1" si="28"/>
        <v>#REF!</v>
      </c>
      <c r="G91" t="s">
        <v>417</v>
      </c>
      <c r="H91" t="s">
        <v>421</v>
      </c>
      <c r="I91" t="e">
        <f t="shared" ca="1" si="21"/>
        <v>#REF!</v>
      </c>
      <c r="J91" t="e">
        <f t="shared" ca="1" si="22"/>
        <v>#REF!</v>
      </c>
      <c r="K91" t="s">
        <v>431</v>
      </c>
      <c r="L91" s="150" t="s">
        <v>423</v>
      </c>
      <c r="M91" s="150" t="s">
        <v>435</v>
      </c>
      <c r="N91" t="e">
        <f t="shared" ca="1" si="23"/>
        <v>#REF!</v>
      </c>
      <c r="O91" s="150" t="s">
        <v>412</v>
      </c>
      <c r="P91" s="150" t="s">
        <v>428</v>
      </c>
      <c r="Q91" s="150" t="s">
        <v>399</v>
      </c>
      <c r="R91" t="e">
        <f t="shared" ca="1" si="24"/>
        <v>#REF!</v>
      </c>
      <c r="S91" t="s">
        <v>398</v>
      </c>
      <c r="T91" t="s">
        <v>448</v>
      </c>
      <c r="U91" t="str">
        <f t="shared" ca="1" si="16"/>
        <v>Sheets("Master Data").Range("0" &amp; RowNo).Value</v>
      </c>
      <c r="V91" t="e">
        <f t="shared" ca="1" si="25"/>
        <v>#REF!</v>
      </c>
      <c r="X91" t="e">
        <f t="shared" ca="1" si="17"/>
        <v>#REF!</v>
      </c>
      <c r="Z91" t="e">
        <f t="shared" ca="1" si="18"/>
        <v>#REF!</v>
      </c>
      <c r="AB91" t="e">
        <f t="shared" ca="1" si="26"/>
        <v>#REF!</v>
      </c>
      <c r="AD91" t="e">
        <f t="shared" ca="1" si="27"/>
        <v>#REF!</v>
      </c>
    </row>
    <row r="92" spans="1:30" ht="15" x14ac:dyDescent="0.25">
      <c r="A92" s="150">
        <v>85</v>
      </c>
      <c r="B92" s="150" t="str">
        <f t="shared" si="19"/>
        <v>CG1</v>
      </c>
      <c r="D92" t="s">
        <v>416</v>
      </c>
      <c r="E92">
        <f t="shared" ca="1" si="20"/>
        <v>0</v>
      </c>
      <c r="F92" t="e">
        <f t="shared" ca="1" si="28"/>
        <v>#REF!</v>
      </c>
      <c r="G92" t="s">
        <v>417</v>
      </c>
      <c r="H92" t="s">
        <v>421</v>
      </c>
      <c r="I92" t="e">
        <f t="shared" ca="1" si="21"/>
        <v>#REF!</v>
      </c>
      <c r="J92" t="e">
        <f t="shared" ca="1" si="22"/>
        <v>#REF!</v>
      </c>
      <c r="K92" t="s">
        <v>431</v>
      </c>
      <c r="L92" s="150" t="s">
        <v>423</v>
      </c>
      <c r="M92" s="150" t="s">
        <v>435</v>
      </c>
      <c r="N92" t="e">
        <f t="shared" ca="1" si="23"/>
        <v>#REF!</v>
      </c>
      <c r="O92" s="150" t="s">
        <v>412</v>
      </c>
      <c r="P92" s="150" t="s">
        <v>428</v>
      </c>
      <c r="Q92" s="150" t="s">
        <v>399</v>
      </c>
      <c r="R92" t="e">
        <f t="shared" ca="1" si="24"/>
        <v>#REF!</v>
      </c>
      <c r="S92" t="s">
        <v>398</v>
      </c>
      <c r="T92" t="s">
        <v>448</v>
      </c>
      <c r="U92" t="str">
        <f t="shared" ca="1" si="16"/>
        <v>Sheets("Master Data").Range("0" &amp; RowNo).Value</v>
      </c>
      <c r="V92" t="e">
        <f t="shared" ca="1" si="25"/>
        <v>#REF!</v>
      </c>
      <c r="X92" t="e">
        <f t="shared" ca="1" si="17"/>
        <v>#REF!</v>
      </c>
      <c r="Z92" t="e">
        <f t="shared" ca="1" si="18"/>
        <v>#REF!</v>
      </c>
      <c r="AB92" t="e">
        <f t="shared" ca="1" si="26"/>
        <v>#REF!</v>
      </c>
      <c r="AD92" t="e">
        <f t="shared" ca="1" si="27"/>
        <v>#REF!</v>
      </c>
    </row>
    <row r="93" spans="1:30" ht="15" x14ac:dyDescent="0.25">
      <c r="A93" s="150">
        <v>86</v>
      </c>
      <c r="B93" s="150" t="str">
        <f t="shared" si="19"/>
        <v>CH1</v>
      </c>
      <c r="D93" t="s">
        <v>416</v>
      </c>
      <c r="E93">
        <f t="shared" ca="1" si="20"/>
        <v>0</v>
      </c>
      <c r="F93" t="e">
        <f t="shared" ca="1" si="28"/>
        <v>#REF!</v>
      </c>
      <c r="G93" t="s">
        <v>417</v>
      </c>
      <c r="H93" t="s">
        <v>421</v>
      </c>
      <c r="I93" t="e">
        <f t="shared" ca="1" si="21"/>
        <v>#REF!</v>
      </c>
      <c r="J93" t="e">
        <f t="shared" ca="1" si="22"/>
        <v>#REF!</v>
      </c>
      <c r="K93" t="s">
        <v>431</v>
      </c>
      <c r="L93" s="150" t="s">
        <v>423</v>
      </c>
      <c r="M93" s="150" t="s">
        <v>435</v>
      </c>
      <c r="N93" t="e">
        <f t="shared" ca="1" si="23"/>
        <v>#REF!</v>
      </c>
      <c r="O93" s="150" t="s">
        <v>412</v>
      </c>
      <c r="P93" s="150" t="s">
        <v>428</v>
      </c>
      <c r="Q93" s="150" t="s">
        <v>399</v>
      </c>
      <c r="R93" t="e">
        <f t="shared" ca="1" si="24"/>
        <v>#REF!</v>
      </c>
      <c r="S93" t="s">
        <v>398</v>
      </c>
      <c r="T93" t="s">
        <v>448</v>
      </c>
      <c r="U93" t="str">
        <f t="shared" ca="1" si="16"/>
        <v>Sheets("Master Data").Range("0" &amp; RowNo).Value</v>
      </c>
      <c r="V93" t="e">
        <f t="shared" ca="1" si="25"/>
        <v>#REF!</v>
      </c>
      <c r="X93" t="e">
        <f t="shared" ca="1" si="17"/>
        <v>#REF!</v>
      </c>
      <c r="Z93" t="e">
        <f t="shared" ca="1" si="18"/>
        <v>#REF!</v>
      </c>
      <c r="AB93" t="e">
        <f t="shared" ca="1" si="26"/>
        <v>#REF!</v>
      </c>
      <c r="AD93" t="e">
        <f t="shared" ca="1" si="27"/>
        <v>#REF!</v>
      </c>
    </row>
    <row r="94" spans="1:30" ht="15" x14ac:dyDescent="0.25">
      <c r="A94" s="150">
        <v>87</v>
      </c>
      <c r="B94" s="150" t="str">
        <f t="shared" si="19"/>
        <v>CI1</v>
      </c>
      <c r="D94" t="s">
        <v>416</v>
      </c>
      <c r="E94">
        <f t="shared" ca="1" si="20"/>
        <v>0</v>
      </c>
      <c r="F94" t="e">
        <f t="shared" ca="1" si="28"/>
        <v>#REF!</v>
      </c>
      <c r="G94" t="s">
        <v>417</v>
      </c>
      <c r="H94" t="s">
        <v>421</v>
      </c>
      <c r="I94" t="e">
        <f t="shared" ca="1" si="21"/>
        <v>#REF!</v>
      </c>
      <c r="J94" t="e">
        <f t="shared" ca="1" si="22"/>
        <v>#REF!</v>
      </c>
      <c r="K94" t="s">
        <v>431</v>
      </c>
      <c r="L94" s="150" t="s">
        <v>423</v>
      </c>
      <c r="M94" s="150" t="s">
        <v>435</v>
      </c>
      <c r="N94" t="e">
        <f t="shared" ca="1" si="23"/>
        <v>#REF!</v>
      </c>
      <c r="O94" s="150" t="s">
        <v>412</v>
      </c>
      <c r="P94" s="150" t="s">
        <v>428</v>
      </c>
      <c r="Q94" s="150" t="s">
        <v>399</v>
      </c>
      <c r="R94" t="e">
        <f t="shared" ca="1" si="24"/>
        <v>#REF!</v>
      </c>
      <c r="S94" t="s">
        <v>398</v>
      </c>
      <c r="T94" t="s">
        <v>448</v>
      </c>
      <c r="U94" t="str">
        <f t="shared" ca="1" si="16"/>
        <v>Sheets("Master Data").Range("0" &amp; RowNo).Value</v>
      </c>
      <c r="V94" t="e">
        <f t="shared" ca="1" si="25"/>
        <v>#REF!</v>
      </c>
      <c r="X94" t="e">
        <f t="shared" ca="1" si="17"/>
        <v>#REF!</v>
      </c>
      <c r="Z94" t="e">
        <f t="shared" ca="1" si="18"/>
        <v>#REF!</v>
      </c>
      <c r="AB94" t="e">
        <f t="shared" ca="1" si="26"/>
        <v>#REF!</v>
      </c>
      <c r="AD94" t="e">
        <f t="shared" ca="1" si="27"/>
        <v>#REF!</v>
      </c>
    </row>
    <row r="95" spans="1:30" ht="15" x14ac:dyDescent="0.25">
      <c r="A95" s="150">
        <v>88</v>
      </c>
      <c r="B95" s="150" t="str">
        <f t="shared" si="19"/>
        <v>CJ1</v>
      </c>
      <c r="D95" t="s">
        <v>416</v>
      </c>
      <c r="E95">
        <f t="shared" ca="1" si="20"/>
        <v>0</v>
      </c>
      <c r="F95" t="e">
        <f t="shared" ca="1" si="28"/>
        <v>#REF!</v>
      </c>
      <c r="G95" t="s">
        <v>417</v>
      </c>
      <c r="H95" t="s">
        <v>421</v>
      </c>
      <c r="I95" t="e">
        <f t="shared" ca="1" si="21"/>
        <v>#REF!</v>
      </c>
      <c r="J95" t="e">
        <f t="shared" ca="1" si="22"/>
        <v>#REF!</v>
      </c>
      <c r="K95" t="s">
        <v>431</v>
      </c>
      <c r="L95" s="150" t="s">
        <v>423</v>
      </c>
      <c r="M95" s="150" t="s">
        <v>435</v>
      </c>
      <c r="N95" t="e">
        <f t="shared" ca="1" si="23"/>
        <v>#REF!</v>
      </c>
      <c r="O95" s="150" t="s">
        <v>412</v>
      </c>
      <c r="P95" s="150" t="s">
        <v>428</v>
      </c>
      <c r="Q95" s="150" t="s">
        <v>399</v>
      </c>
      <c r="R95" t="e">
        <f t="shared" ca="1" si="24"/>
        <v>#REF!</v>
      </c>
      <c r="S95" t="s">
        <v>398</v>
      </c>
      <c r="T95" t="s">
        <v>448</v>
      </c>
      <c r="U95" t="str">
        <f t="shared" ca="1" si="16"/>
        <v>Sheets("Master Data").Range("0" &amp; RowNo).Value</v>
      </c>
      <c r="V95" t="e">
        <f t="shared" ca="1" si="25"/>
        <v>#REF!</v>
      </c>
      <c r="X95" t="e">
        <f t="shared" ca="1" si="17"/>
        <v>#REF!</v>
      </c>
      <c r="Z95" t="e">
        <f t="shared" ca="1" si="18"/>
        <v>#REF!</v>
      </c>
      <c r="AB95" t="e">
        <f t="shared" ca="1" si="26"/>
        <v>#REF!</v>
      </c>
      <c r="AD95" t="e">
        <f t="shared" ca="1" si="27"/>
        <v>#REF!</v>
      </c>
    </row>
    <row r="96" spans="1:30" ht="15" x14ac:dyDescent="0.25">
      <c r="A96" s="150">
        <v>89</v>
      </c>
      <c r="B96" s="150" t="str">
        <f t="shared" si="19"/>
        <v>CK1</v>
      </c>
      <c r="D96" t="s">
        <v>416</v>
      </c>
      <c r="E96">
        <f t="shared" ca="1" si="20"/>
        <v>0</v>
      </c>
      <c r="F96" t="e">
        <f t="shared" ca="1" si="28"/>
        <v>#REF!</v>
      </c>
      <c r="G96" t="s">
        <v>417</v>
      </c>
      <c r="H96" t="s">
        <v>421</v>
      </c>
      <c r="I96" t="e">
        <f t="shared" ca="1" si="21"/>
        <v>#REF!</v>
      </c>
      <c r="J96" t="e">
        <f t="shared" ca="1" si="22"/>
        <v>#REF!</v>
      </c>
      <c r="K96" t="s">
        <v>431</v>
      </c>
      <c r="L96" s="150" t="s">
        <v>423</v>
      </c>
      <c r="M96" s="150" t="s">
        <v>435</v>
      </c>
      <c r="N96" t="e">
        <f t="shared" ca="1" si="23"/>
        <v>#REF!</v>
      </c>
      <c r="O96" s="150" t="s">
        <v>412</v>
      </c>
      <c r="P96" s="150" t="s">
        <v>428</v>
      </c>
      <c r="Q96" s="150" t="s">
        <v>399</v>
      </c>
      <c r="R96" t="e">
        <f t="shared" ca="1" si="24"/>
        <v>#REF!</v>
      </c>
      <c r="S96" t="s">
        <v>398</v>
      </c>
      <c r="T96" t="s">
        <v>448</v>
      </c>
      <c r="U96" t="str">
        <f t="shared" ca="1" si="16"/>
        <v>Sheets("Master Data").Range("0" &amp; RowNo).Value</v>
      </c>
      <c r="V96" t="e">
        <f t="shared" ca="1" si="25"/>
        <v>#REF!</v>
      </c>
      <c r="X96" t="e">
        <f t="shared" ca="1" si="17"/>
        <v>#REF!</v>
      </c>
      <c r="Z96" t="e">
        <f t="shared" ca="1" si="18"/>
        <v>#REF!</v>
      </c>
      <c r="AB96" t="e">
        <f t="shared" ca="1" si="26"/>
        <v>#REF!</v>
      </c>
      <c r="AD96" t="e">
        <f t="shared" ca="1" si="27"/>
        <v>#REF!</v>
      </c>
    </row>
    <row r="97" spans="1:30" ht="15" x14ac:dyDescent="0.25">
      <c r="A97" s="150">
        <v>90</v>
      </c>
      <c r="B97" s="150" t="str">
        <f t="shared" si="19"/>
        <v>CL1</v>
      </c>
      <c r="D97" t="s">
        <v>416</v>
      </c>
      <c r="E97">
        <f t="shared" ca="1" si="20"/>
        <v>0</v>
      </c>
      <c r="F97" t="e">
        <f t="shared" ca="1" si="28"/>
        <v>#REF!</v>
      </c>
      <c r="G97" t="s">
        <v>417</v>
      </c>
      <c r="H97" t="s">
        <v>421</v>
      </c>
      <c r="I97" t="e">
        <f t="shared" ca="1" si="21"/>
        <v>#REF!</v>
      </c>
      <c r="J97" t="e">
        <f t="shared" ca="1" si="22"/>
        <v>#REF!</v>
      </c>
      <c r="K97" t="s">
        <v>431</v>
      </c>
      <c r="L97" s="150" t="s">
        <v>423</v>
      </c>
      <c r="M97" s="150" t="s">
        <v>435</v>
      </c>
      <c r="N97" t="e">
        <f t="shared" ca="1" si="23"/>
        <v>#REF!</v>
      </c>
      <c r="O97" s="150" t="s">
        <v>412</v>
      </c>
      <c r="P97" s="150" t="s">
        <v>428</v>
      </c>
      <c r="Q97" s="150" t="s">
        <v>399</v>
      </c>
      <c r="R97" t="e">
        <f t="shared" ca="1" si="24"/>
        <v>#REF!</v>
      </c>
      <c r="S97" t="s">
        <v>398</v>
      </c>
      <c r="T97" t="s">
        <v>448</v>
      </c>
      <c r="U97" t="str">
        <f t="shared" ca="1" si="16"/>
        <v>Sheets("Master Data").Range("0" &amp; RowNo).Value</v>
      </c>
      <c r="V97" t="e">
        <f t="shared" ca="1" si="25"/>
        <v>#REF!</v>
      </c>
      <c r="X97" t="e">
        <f t="shared" ca="1" si="17"/>
        <v>#REF!</v>
      </c>
      <c r="Z97" t="e">
        <f t="shared" ca="1" si="18"/>
        <v>#REF!</v>
      </c>
      <c r="AB97" t="e">
        <f t="shared" ca="1" si="26"/>
        <v>#REF!</v>
      </c>
      <c r="AD97" t="e">
        <f t="shared" ca="1" si="27"/>
        <v>#REF!</v>
      </c>
    </row>
    <row r="98" spans="1:30" ht="15" x14ac:dyDescent="0.25">
      <c r="A98" s="150">
        <v>91</v>
      </c>
      <c r="B98" s="150" t="str">
        <f t="shared" si="19"/>
        <v>CM1</v>
      </c>
      <c r="D98" t="s">
        <v>416</v>
      </c>
      <c r="E98">
        <f t="shared" ca="1" si="20"/>
        <v>0</v>
      </c>
      <c r="F98" t="e">
        <f t="shared" ca="1" si="28"/>
        <v>#REF!</v>
      </c>
      <c r="G98" t="s">
        <v>417</v>
      </c>
      <c r="H98" t="s">
        <v>421</v>
      </c>
      <c r="I98" t="e">
        <f t="shared" ca="1" si="21"/>
        <v>#REF!</v>
      </c>
      <c r="J98" t="e">
        <f t="shared" ca="1" si="22"/>
        <v>#REF!</v>
      </c>
      <c r="K98" t="s">
        <v>431</v>
      </c>
      <c r="L98" s="150" t="s">
        <v>423</v>
      </c>
      <c r="M98" s="150" t="s">
        <v>435</v>
      </c>
      <c r="N98" t="e">
        <f t="shared" ca="1" si="23"/>
        <v>#REF!</v>
      </c>
      <c r="O98" s="150" t="s">
        <v>412</v>
      </c>
      <c r="P98" s="150" t="s">
        <v>428</v>
      </c>
      <c r="Q98" s="150" t="s">
        <v>399</v>
      </c>
      <c r="R98" t="e">
        <f t="shared" ca="1" si="24"/>
        <v>#REF!</v>
      </c>
      <c r="S98" t="s">
        <v>398</v>
      </c>
      <c r="T98" t="s">
        <v>448</v>
      </c>
      <c r="U98" t="str">
        <f t="shared" ca="1" si="16"/>
        <v>Sheets("Master Data").Range("0" &amp; RowNo).Value</v>
      </c>
      <c r="V98" t="e">
        <f t="shared" ca="1" si="25"/>
        <v>#REF!</v>
      </c>
      <c r="X98" t="e">
        <f t="shared" ca="1" si="17"/>
        <v>#REF!</v>
      </c>
      <c r="Z98" t="e">
        <f t="shared" ca="1" si="18"/>
        <v>#REF!</v>
      </c>
      <c r="AB98" t="e">
        <f t="shared" ca="1" si="26"/>
        <v>#REF!</v>
      </c>
      <c r="AD98" t="e">
        <f t="shared" ca="1" si="27"/>
        <v>#REF!</v>
      </c>
    </row>
    <row r="99" spans="1:30" ht="15" x14ac:dyDescent="0.25">
      <c r="A99" s="150">
        <v>92</v>
      </c>
      <c r="B99" s="150" t="str">
        <f t="shared" si="19"/>
        <v>CN1</v>
      </c>
      <c r="D99" t="s">
        <v>416</v>
      </c>
      <c r="E99">
        <f t="shared" ca="1" si="20"/>
        <v>0</v>
      </c>
      <c r="F99" t="e">
        <f t="shared" ca="1" si="28"/>
        <v>#REF!</v>
      </c>
      <c r="G99" t="s">
        <v>417</v>
      </c>
      <c r="H99" t="s">
        <v>421</v>
      </c>
      <c r="I99" t="e">
        <f t="shared" ca="1" si="21"/>
        <v>#REF!</v>
      </c>
      <c r="J99" t="e">
        <f t="shared" ca="1" si="22"/>
        <v>#REF!</v>
      </c>
      <c r="K99" t="s">
        <v>431</v>
      </c>
      <c r="L99" s="150" t="s">
        <v>423</v>
      </c>
      <c r="M99" s="150" t="s">
        <v>435</v>
      </c>
      <c r="N99" t="e">
        <f t="shared" ca="1" si="23"/>
        <v>#REF!</v>
      </c>
      <c r="O99" s="150" t="s">
        <v>412</v>
      </c>
      <c r="P99" s="150" t="s">
        <v>428</v>
      </c>
      <c r="Q99" s="150" t="s">
        <v>399</v>
      </c>
      <c r="R99" t="e">
        <f t="shared" ca="1" si="24"/>
        <v>#REF!</v>
      </c>
      <c r="S99" t="s">
        <v>398</v>
      </c>
      <c r="T99" t="s">
        <v>448</v>
      </c>
      <c r="U99" t="str">
        <f t="shared" ca="1" si="16"/>
        <v>Sheets("Master Data").Range("0" &amp; RowNo).Value</v>
      </c>
      <c r="V99" t="e">
        <f t="shared" ca="1" si="25"/>
        <v>#REF!</v>
      </c>
      <c r="X99" t="e">
        <f t="shared" ca="1" si="17"/>
        <v>#REF!</v>
      </c>
      <c r="Z99" t="e">
        <f t="shared" ca="1" si="18"/>
        <v>#REF!</v>
      </c>
      <c r="AB99" t="e">
        <f t="shared" ca="1" si="26"/>
        <v>#REF!</v>
      </c>
      <c r="AD99" t="e">
        <f t="shared" ca="1" si="27"/>
        <v>#REF!</v>
      </c>
    </row>
    <row r="100" spans="1:30" ht="15" x14ac:dyDescent="0.25">
      <c r="A100" s="150">
        <v>93</v>
      </c>
      <c r="B100" s="150" t="str">
        <f t="shared" si="19"/>
        <v>CO1</v>
      </c>
      <c r="D100" t="s">
        <v>416</v>
      </c>
      <c r="E100">
        <f t="shared" ca="1" si="20"/>
        <v>0</v>
      </c>
      <c r="F100" t="e">
        <f t="shared" ca="1" si="28"/>
        <v>#REF!</v>
      </c>
      <c r="G100" t="s">
        <v>417</v>
      </c>
      <c r="H100" t="s">
        <v>421</v>
      </c>
      <c r="I100" t="e">
        <f t="shared" ca="1" si="21"/>
        <v>#REF!</v>
      </c>
      <c r="J100" t="e">
        <f t="shared" ca="1" si="22"/>
        <v>#REF!</v>
      </c>
      <c r="K100" t="s">
        <v>431</v>
      </c>
      <c r="L100" s="150" t="s">
        <v>423</v>
      </c>
      <c r="M100" s="150" t="s">
        <v>435</v>
      </c>
      <c r="N100" t="e">
        <f t="shared" ca="1" si="23"/>
        <v>#REF!</v>
      </c>
      <c r="O100" s="150" t="s">
        <v>412</v>
      </c>
      <c r="P100" s="150" t="s">
        <v>428</v>
      </c>
      <c r="Q100" s="150" t="s">
        <v>399</v>
      </c>
      <c r="R100" t="e">
        <f t="shared" ca="1" si="24"/>
        <v>#REF!</v>
      </c>
      <c r="S100" t="s">
        <v>398</v>
      </c>
      <c r="T100" t="s">
        <v>448</v>
      </c>
      <c r="U100" t="str">
        <f t="shared" ca="1" si="16"/>
        <v>Sheets("Master Data").Range("0" &amp; RowNo).Value</v>
      </c>
      <c r="V100" t="e">
        <f t="shared" ca="1" si="25"/>
        <v>#REF!</v>
      </c>
      <c r="X100" t="e">
        <f t="shared" ca="1" si="17"/>
        <v>#REF!</v>
      </c>
      <c r="Z100" t="e">
        <f t="shared" ca="1" si="18"/>
        <v>#REF!</v>
      </c>
      <c r="AB100" t="e">
        <f t="shared" ca="1" si="26"/>
        <v>#REF!</v>
      </c>
      <c r="AD100" t="e">
        <f t="shared" ca="1" si="27"/>
        <v>#REF!</v>
      </c>
    </row>
    <row r="101" spans="1:30" ht="15" x14ac:dyDescent="0.25">
      <c r="A101" s="150">
        <v>94</v>
      </c>
      <c r="B101" s="150" t="str">
        <f t="shared" si="19"/>
        <v>CP1</v>
      </c>
      <c r="D101" t="s">
        <v>416</v>
      </c>
      <c r="E101">
        <f t="shared" ca="1" si="20"/>
        <v>0</v>
      </c>
      <c r="F101" t="e">
        <f t="shared" ca="1" si="28"/>
        <v>#REF!</v>
      </c>
      <c r="G101" t="s">
        <v>417</v>
      </c>
      <c r="H101" t="s">
        <v>421</v>
      </c>
      <c r="I101" t="e">
        <f t="shared" ca="1" si="21"/>
        <v>#REF!</v>
      </c>
      <c r="J101" t="e">
        <f t="shared" ca="1" si="22"/>
        <v>#REF!</v>
      </c>
      <c r="K101" t="s">
        <v>431</v>
      </c>
      <c r="L101" s="150" t="s">
        <v>423</v>
      </c>
      <c r="M101" s="150" t="s">
        <v>435</v>
      </c>
      <c r="N101" t="e">
        <f t="shared" ca="1" si="23"/>
        <v>#REF!</v>
      </c>
      <c r="O101" s="150" t="s">
        <v>412</v>
      </c>
      <c r="P101" s="150" t="s">
        <v>428</v>
      </c>
      <c r="Q101" s="150" t="s">
        <v>399</v>
      </c>
      <c r="R101" t="e">
        <f t="shared" ca="1" si="24"/>
        <v>#REF!</v>
      </c>
      <c r="S101" t="s">
        <v>398</v>
      </c>
      <c r="T101" t="s">
        <v>448</v>
      </c>
      <c r="U101" t="str">
        <f t="shared" ca="1" si="16"/>
        <v>Sheets("Master Data").Range("0" &amp; RowNo).Value</v>
      </c>
      <c r="V101" t="e">
        <f t="shared" ca="1" si="25"/>
        <v>#REF!</v>
      </c>
      <c r="X101" t="e">
        <f t="shared" ca="1" si="17"/>
        <v>#REF!</v>
      </c>
      <c r="Z101" t="e">
        <f t="shared" ca="1" si="18"/>
        <v>#REF!</v>
      </c>
      <c r="AB101" t="e">
        <f t="shared" ca="1" si="26"/>
        <v>#REF!</v>
      </c>
      <c r="AD101" t="e">
        <f t="shared" ca="1" si="27"/>
        <v>#REF!</v>
      </c>
    </row>
    <row r="102" spans="1:30" ht="15" x14ac:dyDescent="0.25">
      <c r="A102" s="150">
        <v>95</v>
      </c>
      <c r="B102" s="150" t="str">
        <f t="shared" si="19"/>
        <v>CQ1</v>
      </c>
      <c r="D102" t="s">
        <v>416</v>
      </c>
      <c r="E102">
        <f t="shared" ca="1" si="20"/>
        <v>0</v>
      </c>
      <c r="F102" t="e">
        <f t="shared" ca="1" si="28"/>
        <v>#REF!</v>
      </c>
      <c r="G102" t="s">
        <v>417</v>
      </c>
      <c r="H102" t="s">
        <v>421</v>
      </c>
      <c r="I102" t="e">
        <f t="shared" ca="1" si="21"/>
        <v>#REF!</v>
      </c>
      <c r="J102" t="e">
        <f t="shared" ca="1" si="22"/>
        <v>#REF!</v>
      </c>
      <c r="K102" t="s">
        <v>431</v>
      </c>
      <c r="L102" s="150" t="s">
        <v>423</v>
      </c>
      <c r="M102" s="150" t="s">
        <v>435</v>
      </c>
      <c r="N102" t="e">
        <f t="shared" ca="1" si="23"/>
        <v>#REF!</v>
      </c>
      <c r="O102" s="150" t="s">
        <v>412</v>
      </c>
      <c r="P102" s="150" t="s">
        <v>428</v>
      </c>
      <c r="Q102" s="150" t="s">
        <v>399</v>
      </c>
      <c r="R102" t="e">
        <f t="shared" ca="1" si="24"/>
        <v>#REF!</v>
      </c>
      <c r="S102" t="s">
        <v>398</v>
      </c>
      <c r="T102" t="s">
        <v>448</v>
      </c>
      <c r="U102" t="str">
        <f t="shared" ca="1" si="16"/>
        <v>Sheets("Master Data").Range("0" &amp; RowNo).Value</v>
      </c>
      <c r="V102" t="e">
        <f t="shared" ca="1" si="25"/>
        <v>#REF!</v>
      </c>
      <c r="X102" t="e">
        <f t="shared" ca="1" si="17"/>
        <v>#REF!</v>
      </c>
      <c r="Z102" t="e">
        <f t="shared" ca="1" si="18"/>
        <v>#REF!</v>
      </c>
      <c r="AB102" t="e">
        <f t="shared" ca="1" si="26"/>
        <v>#REF!</v>
      </c>
      <c r="AD102" t="e">
        <f t="shared" ca="1" si="27"/>
        <v>#REF!</v>
      </c>
    </row>
    <row r="103" spans="1:30" ht="15" x14ac:dyDescent="0.25">
      <c r="A103" s="150">
        <v>96</v>
      </c>
      <c r="B103" s="150" t="str">
        <f t="shared" si="19"/>
        <v>CR1</v>
      </c>
      <c r="D103" t="s">
        <v>416</v>
      </c>
      <c r="E103">
        <f t="shared" ca="1" si="20"/>
        <v>0</v>
      </c>
      <c r="F103" t="e">
        <f t="shared" ca="1" si="28"/>
        <v>#REF!</v>
      </c>
      <c r="G103" t="s">
        <v>417</v>
      </c>
      <c r="H103" t="s">
        <v>421</v>
      </c>
      <c r="I103" t="e">
        <f t="shared" ca="1" si="21"/>
        <v>#REF!</v>
      </c>
      <c r="J103" t="e">
        <f t="shared" ca="1" si="22"/>
        <v>#REF!</v>
      </c>
      <c r="K103" t="s">
        <v>431</v>
      </c>
      <c r="L103" s="150" t="s">
        <v>423</v>
      </c>
      <c r="M103" s="150" t="s">
        <v>435</v>
      </c>
      <c r="N103" t="e">
        <f t="shared" ca="1" si="23"/>
        <v>#REF!</v>
      </c>
      <c r="O103" s="150" t="s">
        <v>412</v>
      </c>
      <c r="P103" s="150" t="s">
        <v>428</v>
      </c>
      <c r="Q103" s="150" t="s">
        <v>399</v>
      </c>
      <c r="R103" t="e">
        <f t="shared" ca="1" si="24"/>
        <v>#REF!</v>
      </c>
      <c r="S103" t="s">
        <v>398</v>
      </c>
      <c r="T103" t="s">
        <v>448</v>
      </c>
      <c r="U103" t="str">
        <f t="shared" ca="1" si="16"/>
        <v>Sheets("Master Data").Range("0" &amp; RowNo).Value</v>
      </c>
      <c r="V103" t="e">
        <f t="shared" ca="1" si="25"/>
        <v>#REF!</v>
      </c>
      <c r="X103" t="e">
        <f t="shared" ca="1" si="17"/>
        <v>#REF!</v>
      </c>
      <c r="Z103" t="e">
        <f t="shared" ca="1" si="18"/>
        <v>#REF!</v>
      </c>
      <c r="AB103" t="e">
        <f t="shared" ca="1" si="26"/>
        <v>#REF!</v>
      </c>
      <c r="AD103" t="e">
        <f t="shared" ca="1" si="27"/>
        <v>#REF!</v>
      </c>
    </row>
    <row r="104" spans="1:30" ht="15" x14ac:dyDescent="0.25">
      <c r="A104" s="150">
        <v>97</v>
      </c>
      <c r="B104" s="150" t="str">
        <f t="shared" si="19"/>
        <v>CS1</v>
      </c>
      <c r="D104" t="s">
        <v>416</v>
      </c>
      <c r="E104">
        <f t="shared" ca="1" si="20"/>
        <v>0</v>
      </c>
      <c r="F104" t="e">
        <f t="shared" ca="1" si="28"/>
        <v>#REF!</v>
      </c>
      <c r="G104" t="s">
        <v>417</v>
      </c>
      <c r="H104" t="s">
        <v>421</v>
      </c>
      <c r="I104" t="e">
        <f t="shared" ca="1" si="21"/>
        <v>#REF!</v>
      </c>
      <c r="J104" t="e">
        <f t="shared" ca="1" si="22"/>
        <v>#REF!</v>
      </c>
      <c r="K104" t="s">
        <v>431</v>
      </c>
      <c r="L104" s="150" t="s">
        <v>423</v>
      </c>
      <c r="M104" s="150" t="s">
        <v>435</v>
      </c>
      <c r="N104" t="e">
        <f t="shared" ca="1" si="23"/>
        <v>#REF!</v>
      </c>
      <c r="O104" s="150" t="s">
        <v>412</v>
      </c>
      <c r="P104" s="150" t="s">
        <v>428</v>
      </c>
      <c r="Q104" s="150" t="s">
        <v>399</v>
      </c>
      <c r="R104" t="e">
        <f t="shared" ca="1" si="24"/>
        <v>#REF!</v>
      </c>
      <c r="S104" t="s">
        <v>398</v>
      </c>
      <c r="T104" t="s">
        <v>448</v>
      </c>
      <c r="U104" t="str">
        <f t="shared" ca="1" si="16"/>
        <v>Sheets("Master Data").Range("0" &amp; RowNo).Value</v>
      </c>
      <c r="V104" t="e">
        <f t="shared" ca="1" si="25"/>
        <v>#REF!</v>
      </c>
      <c r="X104" t="e">
        <f t="shared" ca="1" si="17"/>
        <v>#REF!</v>
      </c>
      <c r="Z104" t="e">
        <f t="shared" ca="1" si="18"/>
        <v>#REF!</v>
      </c>
      <c r="AB104" t="e">
        <f t="shared" ca="1" si="26"/>
        <v>#REF!</v>
      </c>
      <c r="AD104" t="e">
        <f t="shared" ca="1" si="27"/>
        <v>#REF!</v>
      </c>
    </row>
    <row r="105" spans="1:30" ht="15" x14ac:dyDescent="0.25">
      <c r="A105" s="150">
        <v>98</v>
      </c>
      <c r="B105" s="150" t="str">
        <f t="shared" si="19"/>
        <v>CT1</v>
      </c>
      <c r="D105" t="s">
        <v>416</v>
      </c>
      <c r="E105">
        <f t="shared" ca="1" si="20"/>
        <v>0</v>
      </c>
      <c r="F105" t="e">
        <f t="shared" ca="1" si="28"/>
        <v>#REF!</v>
      </c>
      <c r="G105" t="s">
        <v>417</v>
      </c>
      <c r="H105" t="s">
        <v>421</v>
      </c>
      <c r="I105" t="e">
        <f t="shared" ca="1" si="21"/>
        <v>#REF!</v>
      </c>
      <c r="J105" t="e">
        <f t="shared" ca="1" si="22"/>
        <v>#REF!</v>
      </c>
      <c r="K105" t="s">
        <v>431</v>
      </c>
      <c r="L105" s="150" t="s">
        <v>423</v>
      </c>
      <c r="M105" s="150" t="s">
        <v>435</v>
      </c>
      <c r="N105" t="e">
        <f t="shared" ca="1" si="23"/>
        <v>#REF!</v>
      </c>
      <c r="O105" s="150" t="s">
        <v>412</v>
      </c>
      <c r="P105" s="150" t="s">
        <v>428</v>
      </c>
      <c r="Q105" s="150" t="s">
        <v>399</v>
      </c>
      <c r="R105" t="e">
        <f t="shared" ca="1" si="24"/>
        <v>#REF!</v>
      </c>
      <c r="S105" t="s">
        <v>398</v>
      </c>
      <c r="T105" t="s">
        <v>448</v>
      </c>
      <c r="U105" t="str">
        <f t="shared" ca="1" si="16"/>
        <v>Sheets("Master Data").Range("0" &amp; RowNo).Value</v>
      </c>
      <c r="V105" t="e">
        <f t="shared" ca="1" si="25"/>
        <v>#REF!</v>
      </c>
      <c r="X105" t="e">
        <f t="shared" ca="1" si="17"/>
        <v>#REF!</v>
      </c>
      <c r="Z105" t="e">
        <f t="shared" ca="1" si="18"/>
        <v>#REF!</v>
      </c>
      <c r="AB105" t="e">
        <f t="shared" ca="1" si="26"/>
        <v>#REF!</v>
      </c>
      <c r="AD105" t="e">
        <f t="shared" ca="1" si="27"/>
        <v>#REF!</v>
      </c>
    </row>
    <row r="106" spans="1:30" ht="15" x14ac:dyDescent="0.25">
      <c r="A106" s="150">
        <v>99</v>
      </c>
      <c r="B106" s="150" t="str">
        <f t="shared" si="19"/>
        <v>CU1</v>
      </c>
      <c r="D106" t="s">
        <v>416</v>
      </c>
      <c r="E106">
        <f t="shared" ca="1" si="20"/>
        <v>0</v>
      </c>
      <c r="F106" t="e">
        <f t="shared" ca="1" si="28"/>
        <v>#REF!</v>
      </c>
      <c r="G106" t="s">
        <v>417</v>
      </c>
      <c r="H106" t="s">
        <v>421</v>
      </c>
      <c r="I106" t="e">
        <f t="shared" ca="1" si="21"/>
        <v>#REF!</v>
      </c>
      <c r="J106" t="e">
        <f t="shared" ca="1" si="22"/>
        <v>#REF!</v>
      </c>
      <c r="K106" t="s">
        <v>431</v>
      </c>
      <c r="L106" s="150" t="s">
        <v>423</v>
      </c>
      <c r="M106" s="150" t="s">
        <v>435</v>
      </c>
      <c r="N106" t="e">
        <f t="shared" ca="1" si="23"/>
        <v>#REF!</v>
      </c>
      <c r="O106" s="150" t="s">
        <v>412</v>
      </c>
      <c r="P106" s="150" t="s">
        <v>428</v>
      </c>
      <c r="Q106" s="150" t="s">
        <v>399</v>
      </c>
      <c r="R106" t="e">
        <f t="shared" ca="1" si="24"/>
        <v>#REF!</v>
      </c>
      <c r="S106" t="s">
        <v>398</v>
      </c>
      <c r="T106" t="s">
        <v>448</v>
      </c>
      <c r="U106" t="str">
        <f t="shared" ca="1" si="16"/>
        <v>Sheets("Master Data").Range("0" &amp; RowNo).Value</v>
      </c>
      <c r="V106" t="e">
        <f t="shared" ca="1" si="25"/>
        <v>#REF!</v>
      </c>
      <c r="X106" t="e">
        <f t="shared" ca="1" si="17"/>
        <v>#REF!</v>
      </c>
      <c r="Z106" t="e">
        <f t="shared" ca="1" si="18"/>
        <v>#REF!</v>
      </c>
      <c r="AB106" t="e">
        <f t="shared" ca="1" si="26"/>
        <v>#REF!</v>
      </c>
      <c r="AD106" t="e">
        <f t="shared" ca="1" si="27"/>
        <v>#REF!</v>
      </c>
    </row>
    <row r="107" spans="1:30" ht="15" x14ac:dyDescent="0.25">
      <c r="A107" s="150">
        <v>100</v>
      </c>
      <c r="B107" s="150" t="str">
        <f t="shared" si="19"/>
        <v>CV1</v>
      </c>
      <c r="D107" t="s">
        <v>416</v>
      </c>
      <c r="E107">
        <f t="shared" ca="1" si="20"/>
        <v>0</v>
      </c>
      <c r="F107" t="e">
        <f t="shared" ca="1" si="28"/>
        <v>#REF!</v>
      </c>
      <c r="G107" t="s">
        <v>417</v>
      </c>
      <c r="H107" t="s">
        <v>421</v>
      </c>
      <c r="I107" t="e">
        <f t="shared" ca="1" si="21"/>
        <v>#REF!</v>
      </c>
      <c r="J107" t="e">
        <f t="shared" ca="1" si="22"/>
        <v>#REF!</v>
      </c>
      <c r="K107" t="s">
        <v>431</v>
      </c>
      <c r="L107" s="150" t="s">
        <v>423</v>
      </c>
      <c r="M107" s="150" t="s">
        <v>435</v>
      </c>
      <c r="N107" t="e">
        <f t="shared" ca="1" si="23"/>
        <v>#REF!</v>
      </c>
      <c r="O107" s="150" t="s">
        <v>412</v>
      </c>
      <c r="P107" s="150" t="s">
        <v>428</v>
      </c>
      <c r="Q107" s="150" t="s">
        <v>399</v>
      </c>
      <c r="R107" t="e">
        <f t="shared" ca="1" si="24"/>
        <v>#REF!</v>
      </c>
      <c r="S107" t="s">
        <v>398</v>
      </c>
      <c r="T107" t="s">
        <v>448</v>
      </c>
      <c r="U107" t="str">
        <f t="shared" ca="1" si="16"/>
        <v>Sheets("Master Data").Range("0" &amp; RowNo).Value</v>
      </c>
      <c r="V107" t="e">
        <f t="shared" ca="1" si="25"/>
        <v>#REF!</v>
      </c>
      <c r="X107" t="e">
        <f t="shared" ca="1" si="17"/>
        <v>#REF!</v>
      </c>
      <c r="Z107" t="e">
        <f t="shared" ca="1" si="18"/>
        <v>#REF!</v>
      </c>
      <c r="AB107" t="e">
        <f t="shared" ca="1" si="26"/>
        <v>#REF!</v>
      </c>
      <c r="AD107" t="e">
        <f t="shared" ca="1" si="27"/>
        <v>#REF!</v>
      </c>
    </row>
    <row r="108" spans="1:30" ht="15" x14ac:dyDescent="0.25">
      <c r="A108" s="150">
        <v>101</v>
      </c>
      <c r="B108" s="150" t="str">
        <f t="shared" si="19"/>
        <v>CW1</v>
      </c>
      <c r="D108" t="s">
        <v>416</v>
      </c>
      <c r="E108">
        <f t="shared" ca="1" si="20"/>
        <v>0</v>
      </c>
      <c r="F108" t="e">
        <f t="shared" ca="1" si="28"/>
        <v>#REF!</v>
      </c>
      <c r="G108" t="s">
        <v>417</v>
      </c>
      <c r="H108" t="s">
        <v>421</v>
      </c>
      <c r="I108" t="e">
        <f t="shared" ca="1" si="21"/>
        <v>#REF!</v>
      </c>
      <c r="J108" t="e">
        <f t="shared" ca="1" si="22"/>
        <v>#REF!</v>
      </c>
      <c r="K108" t="s">
        <v>431</v>
      </c>
      <c r="L108" s="150" t="s">
        <v>423</v>
      </c>
      <c r="M108" s="150" t="s">
        <v>435</v>
      </c>
      <c r="N108" t="e">
        <f t="shared" ca="1" si="23"/>
        <v>#REF!</v>
      </c>
      <c r="O108" s="150" t="s">
        <v>412</v>
      </c>
      <c r="P108" s="150" t="s">
        <v>428</v>
      </c>
      <c r="Q108" s="150" t="s">
        <v>399</v>
      </c>
      <c r="R108" t="e">
        <f t="shared" ca="1" si="24"/>
        <v>#REF!</v>
      </c>
      <c r="S108" t="s">
        <v>398</v>
      </c>
      <c r="T108" t="s">
        <v>448</v>
      </c>
      <c r="U108" t="str">
        <f t="shared" ca="1" si="16"/>
        <v>Sheets("Master Data").Range("0" &amp; RowNo).Value</v>
      </c>
      <c r="V108" t="e">
        <f t="shared" ca="1" si="25"/>
        <v>#REF!</v>
      </c>
      <c r="X108" t="e">
        <f t="shared" ca="1" si="17"/>
        <v>#REF!</v>
      </c>
      <c r="Z108" t="e">
        <f t="shared" ca="1" si="18"/>
        <v>#REF!</v>
      </c>
      <c r="AB108" t="e">
        <f t="shared" ca="1" si="26"/>
        <v>#REF!</v>
      </c>
      <c r="AD108" t="e">
        <f t="shared" ca="1" si="27"/>
        <v>#REF!</v>
      </c>
    </row>
    <row r="109" spans="1:30" ht="15" x14ac:dyDescent="0.25">
      <c r="A109" s="150">
        <v>102</v>
      </c>
      <c r="B109" s="150" t="str">
        <f t="shared" si="19"/>
        <v>CX1</v>
      </c>
      <c r="D109" t="s">
        <v>416</v>
      </c>
      <c r="E109">
        <f t="shared" ca="1" si="20"/>
        <v>0</v>
      </c>
      <c r="F109" t="e">
        <f t="shared" ca="1" si="28"/>
        <v>#REF!</v>
      </c>
      <c r="G109" t="s">
        <v>417</v>
      </c>
      <c r="H109" t="s">
        <v>421</v>
      </c>
      <c r="I109" t="e">
        <f t="shared" ca="1" si="21"/>
        <v>#REF!</v>
      </c>
      <c r="J109" t="e">
        <f t="shared" ca="1" si="22"/>
        <v>#REF!</v>
      </c>
      <c r="K109" t="s">
        <v>431</v>
      </c>
      <c r="L109" s="150" t="s">
        <v>423</v>
      </c>
      <c r="M109" s="150" t="s">
        <v>435</v>
      </c>
      <c r="N109" t="e">
        <f t="shared" ca="1" si="23"/>
        <v>#REF!</v>
      </c>
      <c r="O109" s="150" t="s">
        <v>412</v>
      </c>
      <c r="P109" s="150" t="s">
        <v>428</v>
      </c>
      <c r="Q109" s="150" t="s">
        <v>399</v>
      </c>
      <c r="R109" t="e">
        <f t="shared" ca="1" si="24"/>
        <v>#REF!</v>
      </c>
      <c r="S109" t="s">
        <v>398</v>
      </c>
      <c r="T109" t="s">
        <v>448</v>
      </c>
      <c r="U109" t="str">
        <f t="shared" ca="1" si="16"/>
        <v>Sheets("Master Data").Range("0" &amp; RowNo).Value</v>
      </c>
      <c r="V109" t="e">
        <f t="shared" ca="1" si="25"/>
        <v>#REF!</v>
      </c>
      <c r="X109" t="e">
        <f t="shared" ca="1" si="17"/>
        <v>#REF!</v>
      </c>
      <c r="Z109" t="e">
        <f t="shared" ca="1" si="18"/>
        <v>#REF!</v>
      </c>
      <c r="AB109" t="e">
        <f t="shared" ca="1" si="26"/>
        <v>#REF!</v>
      </c>
      <c r="AD109" t="e">
        <f t="shared" ca="1" si="27"/>
        <v>#REF!</v>
      </c>
    </row>
    <row r="110" spans="1:30" ht="15" x14ac:dyDescent="0.25">
      <c r="A110" s="150">
        <v>103</v>
      </c>
      <c r="B110" s="150" t="str">
        <f t="shared" si="19"/>
        <v>CY1</v>
      </c>
      <c r="D110" t="s">
        <v>416</v>
      </c>
      <c r="E110">
        <f t="shared" ca="1" si="20"/>
        <v>0</v>
      </c>
      <c r="F110" t="e">
        <f t="shared" ca="1" si="28"/>
        <v>#REF!</v>
      </c>
      <c r="G110" t="s">
        <v>417</v>
      </c>
      <c r="H110" t="s">
        <v>421</v>
      </c>
      <c r="I110" t="e">
        <f t="shared" ca="1" si="21"/>
        <v>#REF!</v>
      </c>
      <c r="J110" t="e">
        <f t="shared" ca="1" si="22"/>
        <v>#REF!</v>
      </c>
      <c r="K110" t="s">
        <v>431</v>
      </c>
      <c r="L110" s="150" t="s">
        <v>423</v>
      </c>
      <c r="M110" s="150" t="s">
        <v>435</v>
      </c>
      <c r="N110" t="e">
        <f t="shared" ca="1" si="23"/>
        <v>#REF!</v>
      </c>
      <c r="O110" s="150" t="s">
        <v>412</v>
      </c>
      <c r="P110" s="150" t="s">
        <v>428</v>
      </c>
      <c r="Q110" s="150" t="s">
        <v>399</v>
      </c>
      <c r="R110" t="e">
        <f t="shared" ca="1" si="24"/>
        <v>#REF!</v>
      </c>
      <c r="S110" t="s">
        <v>398</v>
      </c>
      <c r="T110" t="s">
        <v>448</v>
      </c>
      <c r="U110" t="str">
        <f t="shared" ca="1" si="16"/>
        <v>Sheets("Master Data").Range("0" &amp; RowNo).Value</v>
      </c>
      <c r="V110" t="e">
        <f t="shared" ca="1" si="25"/>
        <v>#REF!</v>
      </c>
      <c r="X110" t="e">
        <f t="shared" ca="1" si="17"/>
        <v>#REF!</v>
      </c>
      <c r="Z110" t="e">
        <f t="shared" ca="1" si="18"/>
        <v>#REF!</v>
      </c>
      <c r="AB110" t="e">
        <f t="shared" ca="1" si="26"/>
        <v>#REF!</v>
      </c>
      <c r="AD110" t="e">
        <f t="shared" ca="1" si="27"/>
        <v>#REF!</v>
      </c>
    </row>
    <row r="111" spans="1:30" ht="15" x14ac:dyDescent="0.25">
      <c r="A111" s="150">
        <v>104</v>
      </c>
      <c r="B111" s="150" t="str">
        <f t="shared" si="19"/>
        <v>CZ1</v>
      </c>
      <c r="D111" t="s">
        <v>416</v>
      </c>
      <c r="E111">
        <f t="shared" ca="1" si="20"/>
        <v>0</v>
      </c>
      <c r="F111" t="e">
        <f t="shared" ca="1" si="28"/>
        <v>#REF!</v>
      </c>
      <c r="G111" t="s">
        <v>417</v>
      </c>
      <c r="H111" t="s">
        <v>421</v>
      </c>
      <c r="I111" t="e">
        <f t="shared" ca="1" si="21"/>
        <v>#REF!</v>
      </c>
      <c r="J111" t="e">
        <f t="shared" ca="1" si="22"/>
        <v>#REF!</v>
      </c>
      <c r="K111" t="s">
        <v>431</v>
      </c>
      <c r="L111" s="150" t="s">
        <v>423</v>
      </c>
      <c r="M111" s="150" t="s">
        <v>435</v>
      </c>
      <c r="N111" t="e">
        <f t="shared" ca="1" si="23"/>
        <v>#REF!</v>
      </c>
      <c r="O111" s="150" t="s">
        <v>412</v>
      </c>
      <c r="P111" s="150" t="s">
        <v>428</v>
      </c>
      <c r="Q111" s="150" t="s">
        <v>399</v>
      </c>
      <c r="R111" t="e">
        <f t="shared" ca="1" si="24"/>
        <v>#REF!</v>
      </c>
      <c r="S111" t="s">
        <v>398</v>
      </c>
      <c r="T111" t="s">
        <v>448</v>
      </c>
      <c r="U111" t="str">
        <f t="shared" ca="1" si="16"/>
        <v>Sheets("Master Data").Range("0" &amp; RowNo).Value</v>
      </c>
      <c r="V111" t="e">
        <f t="shared" ca="1" si="25"/>
        <v>#REF!</v>
      </c>
      <c r="X111" t="e">
        <f t="shared" ca="1" si="17"/>
        <v>#REF!</v>
      </c>
      <c r="Z111" t="e">
        <f t="shared" ca="1" si="18"/>
        <v>#REF!</v>
      </c>
      <c r="AB111" t="e">
        <f t="shared" ca="1" si="26"/>
        <v>#REF!</v>
      </c>
      <c r="AD111" t="e">
        <f t="shared" ca="1" si="27"/>
        <v>#REF!</v>
      </c>
    </row>
    <row r="112" spans="1:30" ht="15" x14ac:dyDescent="0.25">
      <c r="A112" s="150">
        <v>105</v>
      </c>
      <c r="B112" s="150" t="str">
        <f t="shared" si="19"/>
        <v>DA1</v>
      </c>
      <c r="D112" t="s">
        <v>416</v>
      </c>
      <c r="E112">
        <f t="shared" ca="1" si="20"/>
        <v>0</v>
      </c>
      <c r="F112" t="e">
        <f t="shared" ca="1" si="28"/>
        <v>#REF!</v>
      </c>
      <c r="G112" t="s">
        <v>417</v>
      </c>
      <c r="H112" t="s">
        <v>421</v>
      </c>
      <c r="I112" t="e">
        <f t="shared" ca="1" si="21"/>
        <v>#REF!</v>
      </c>
      <c r="J112" t="e">
        <f t="shared" ca="1" si="22"/>
        <v>#REF!</v>
      </c>
      <c r="K112" t="s">
        <v>431</v>
      </c>
      <c r="L112" s="150" t="s">
        <v>423</v>
      </c>
      <c r="M112" s="150" t="s">
        <v>435</v>
      </c>
      <c r="N112" t="e">
        <f t="shared" ca="1" si="23"/>
        <v>#REF!</v>
      </c>
      <c r="O112" s="150" t="s">
        <v>412</v>
      </c>
      <c r="P112" s="150" t="s">
        <v>428</v>
      </c>
      <c r="Q112" s="150" t="s">
        <v>399</v>
      </c>
      <c r="R112" t="e">
        <f t="shared" ca="1" si="24"/>
        <v>#REF!</v>
      </c>
      <c r="S112" t="s">
        <v>398</v>
      </c>
      <c r="T112" t="s">
        <v>448</v>
      </c>
      <c r="U112" t="str">
        <f t="shared" ca="1" si="16"/>
        <v>Sheets("Master Data").Range("0" &amp; RowNo).Value</v>
      </c>
      <c r="V112" t="e">
        <f t="shared" ca="1" si="25"/>
        <v>#REF!</v>
      </c>
      <c r="X112" t="e">
        <f t="shared" ca="1" si="17"/>
        <v>#REF!</v>
      </c>
      <c r="Z112" t="e">
        <f t="shared" ca="1" si="18"/>
        <v>#REF!</v>
      </c>
      <c r="AB112" t="e">
        <f t="shared" ca="1" si="26"/>
        <v>#REF!</v>
      </c>
      <c r="AD112" t="e">
        <f t="shared" ca="1" si="27"/>
        <v>#REF!</v>
      </c>
    </row>
    <row r="113" spans="1:30" ht="15" x14ac:dyDescent="0.25">
      <c r="A113" s="150">
        <v>106</v>
      </c>
      <c r="B113" s="150" t="str">
        <f t="shared" si="19"/>
        <v>DB1</v>
      </c>
      <c r="D113" t="s">
        <v>416</v>
      </c>
      <c r="E113">
        <f t="shared" ca="1" si="20"/>
        <v>0</v>
      </c>
      <c r="F113" t="e">
        <f t="shared" ca="1" si="28"/>
        <v>#REF!</v>
      </c>
      <c r="G113" t="s">
        <v>417</v>
      </c>
      <c r="H113" t="s">
        <v>421</v>
      </c>
      <c r="I113" t="e">
        <f t="shared" ca="1" si="21"/>
        <v>#REF!</v>
      </c>
      <c r="J113" t="e">
        <f t="shared" ca="1" si="22"/>
        <v>#REF!</v>
      </c>
      <c r="K113" t="s">
        <v>431</v>
      </c>
      <c r="L113" s="150" t="s">
        <v>423</v>
      </c>
      <c r="M113" s="150" t="s">
        <v>435</v>
      </c>
      <c r="N113" t="e">
        <f t="shared" ca="1" si="23"/>
        <v>#REF!</v>
      </c>
      <c r="O113" s="150" t="s">
        <v>412</v>
      </c>
      <c r="P113" s="150" t="s">
        <v>428</v>
      </c>
      <c r="Q113" s="150" t="s">
        <v>399</v>
      </c>
      <c r="R113" t="e">
        <f t="shared" ca="1" si="24"/>
        <v>#REF!</v>
      </c>
      <c r="S113" t="s">
        <v>398</v>
      </c>
      <c r="T113" t="s">
        <v>448</v>
      </c>
      <c r="U113" t="str">
        <f t="shared" ca="1" si="16"/>
        <v>Sheets("Master Data").Range("0" &amp; RowNo).Value</v>
      </c>
      <c r="V113" t="e">
        <f t="shared" ca="1" si="25"/>
        <v>#REF!</v>
      </c>
      <c r="X113" t="e">
        <f t="shared" ca="1" si="17"/>
        <v>#REF!</v>
      </c>
      <c r="Z113" t="e">
        <f t="shared" ca="1" si="18"/>
        <v>#REF!</v>
      </c>
      <c r="AB113" t="e">
        <f t="shared" ca="1" si="26"/>
        <v>#REF!</v>
      </c>
      <c r="AD113" t="e">
        <f t="shared" ca="1" si="27"/>
        <v>#REF!</v>
      </c>
    </row>
    <row r="114" spans="1:30" ht="15" x14ac:dyDescent="0.25">
      <c r="A114" s="150">
        <v>107</v>
      </c>
      <c r="B114" s="150" t="str">
        <f t="shared" si="19"/>
        <v>DC1</v>
      </c>
      <c r="D114" t="s">
        <v>416</v>
      </c>
      <c r="E114">
        <f t="shared" ca="1" si="20"/>
        <v>0</v>
      </c>
      <c r="F114" t="e">
        <f t="shared" ca="1" si="28"/>
        <v>#REF!</v>
      </c>
      <c r="G114" t="s">
        <v>417</v>
      </c>
      <c r="H114" t="s">
        <v>421</v>
      </c>
      <c r="I114" t="e">
        <f t="shared" ca="1" si="21"/>
        <v>#REF!</v>
      </c>
      <c r="J114" t="e">
        <f t="shared" ca="1" si="22"/>
        <v>#REF!</v>
      </c>
      <c r="K114" t="s">
        <v>431</v>
      </c>
      <c r="L114" s="150" t="s">
        <v>423</v>
      </c>
      <c r="M114" s="150" t="s">
        <v>435</v>
      </c>
      <c r="N114" t="e">
        <f t="shared" ca="1" si="23"/>
        <v>#REF!</v>
      </c>
      <c r="O114" s="150" t="s">
        <v>412</v>
      </c>
      <c r="P114" s="150" t="s">
        <v>428</v>
      </c>
      <c r="Q114" s="150" t="s">
        <v>399</v>
      </c>
      <c r="R114" t="e">
        <f t="shared" ca="1" si="24"/>
        <v>#REF!</v>
      </c>
      <c r="S114" t="s">
        <v>398</v>
      </c>
      <c r="T114" t="s">
        <v>448</v>
      </c>
      <c r="U114" t="str">
        <f t="shared" ca="1" si="16"/>
        <v>Sheets("Master Data").Range("0" &amp; RowNo).Value</v>
      </c>
      <c r="V114" t="e">
        <f t="shared" ca="1" si="25"/>
        <v>#REF!</v>
      </c>
      <c r="X114" t="e">
        <f t="shared" ca="1" si="17"/>
        <v>#REF!</v>
      </c>
      <c r="Z114" t="e">
        <f t="shared" ca="1" si="18"/>
        <v>#REF!</v>
      </c>
      <c r="AB114" t="e">
        <f t="shared" ca="1" si="26"/>
        <v>#REF!</v>
      </c>
      <c r="AD114" t="e">
        <f t="shared" ca="1" si="27"/>
        <v>#REF!</v>
      </c>
    </row>
    <row r="115" spans="1:30" ht="15" x14ac:dyDescent="0.25">
      <c r="A115" s="150">
        <v>108</v>
      </c>
      <c r="B115" s="150" t="str">
        <f t="shared" si="19"/>
        <v>DD1</v>
      </c>
      <c r="D115" t="s">
        <v>416</v>
      </c>
      <c r="E115">
        <f t="shared" ca="1" si="20"/>
        <v>0</v>
      </c>
      <c r="F115" t="e">
        <f t="shared" ca="1" si="28"/>
        <v>#REF!</v>
      </c>
      <c r="G115" t="s">
        <v>417</v>
      </c>
      <c r="H115" t="s">
        <v>421</v>
      </c>
      <c r="I115" t="e">
        <f t="shared" ca="1" si="21"/>
        <v>#REF!</v>
      </c>
      <c r="J115" t="e">
        <f t="shared" ca="1" si="22"/>
        <v>#REF!</v>
      </c>
      <c r="K115" t="s">
        <v>431</v>
      </c>
      <c r="L115" s="150" t="s">
        <v>423</v>
      </c>
      <c r="M115" s="150" t="s">
        <v>435</v>
      </c>
      <c r="N115" t="e">
        <f t="shared" ca="1" si="23"/>
        <v>#REF!</v>
      </c>
      <c r="O115" s="150" t="s">
        <v>412</v>
      </c>
      <c r="P115" s="150" t="s">
        <v>428</v>
      </c>
      <c r="Q115" s="150" t="s">
        <v>399</v>
      </c>
      <c r="R115" t="e">
        <f t="shared" ca="1" si="24"/>
        <v>#REF!</v>
      </c>
      <c r="S115" t="s">
        <v>398</v>
      </c>
      <c r="T115" t="s">
        <v>448</v>
      </c>
      <c r="U115" t="str">
        <f t="shared" ca="1" si="16"/>
        <v>Sheets("Master Data").Range("0" &amp; RowNo).Value</v>
      </c>
      <c r="V115" t="e">
        <f t="shared" ca="1" si="25"/>
        <v>#REF!</v>
      </c>
      <c r="X115" t="e">
        <f t="shared" ca="1" si="17"/>
        <v>#REF!</v>
      </c>
      <c r="Z115" t="e">
        <f t="shared" ca="1" si="18"/>
        <v>#REF!</v>
      </c>
      <c r="AB115" t="e">
        <f t="shared" ca="1" si="26"/>
        <v>#REF!</v>
      </c>
      <c r="AD115" t="e">
        <f t="shared" ca="1" si="27"/>
        <v>#REF!</v>
      </c>
    </row>
    <row r="116" spans="1:30" ht="15" x14ac:dyDescent="0.25">
      <c r="A116" s="150">
        <v>109</v>
      </c>
      <c r="B116" s="150" t="str">
        <f t="shared" si="19"/>
        <v>DE1</v>
      </c>
      <c r="D116" t="s">
        <v>416</v>
      </c>
      <c r="E116">
        <f t="shared" ca="1" si="20"/>
        <v>0</v>
      </c>
      <c r="F116" t="e">
        <f t="shared" ca="1" si="28"/>
        <v>#REF!</v>
      </c>
      <c r="G116" t="s">
        <v>417</v>
      </c>
      <c r="H116" t="s">
        <v>421</v>
      </c>
      <c r="I116" t="e">
        <f t="shared" ca="1" si="21"/>
        <v>#REF!</v>
      </c>
      <c r="J116" t="e">
        <f t="shared" ca="1" si="22"/>
        <v>#REF!</v>
      </c>
      <c r="K116" t="s">
        <v>431</v>
      </c>
      <c r="L116" s="150" t="s">
        <v>423</v>
      </c>
      <c r="M116" s="150" t="s">
        <v>435</v>
      </c>
      <c r="N116" t="e">
        <f t="shared" ca="1" si="23"/>
        <v>#REF!</v>
      </c>
      <c r="O116" s="150" t="s">
        <v>412</v>
      </c>
      <c r="P116" s="150" t="s">
        <v>428</v>
      </c>
      <c r="Q116" s="150" t="s">
        <v>399</v>
      </c>
      <c r="R116" t="e">
        <f t="shared" ca="1" si="24"/>
        <v>#REF!</v>
      </c>
      <c r="S116" t="s">
        <v>398</v>
      </c>
      <c r="T116" t="s">
        <v>448</v>
      </c>
      <c r="U116" t="str">
        <f t="shared" ca="1" si="16"/>
        <v>Sheets("Master Data").Range("0" &amp; RowNo).Value</v>
      </c>
      <c r="V116" t="e">
        <f t="shared" ca="1" si="25"/>
        <v>#REF!</v>
      </c>
      <c r="X116" t="e">
        <f t="shared" ca="1" si="17"/>
        <v>#REF!</v>
      </c>
      <c r="Z116" t="e">
        <f t="shared" ca="1" si="18"/>
        <v>#REF!</v>
      </c>
      <c r="AB116" t="e">
        <f t="shared" ca="1" si="26"/>
        <v>#REF!</v>
      </c>
      <c r="AD116" t="e">
        <f t="shared" ca="1" si="27"/>
        <v>#REF!</v>
      </c>
    </row>
    <row r="117" spans="1:30" ht="15" x14ac:dyDescent="0.25">
      <c r="A117" s="150">
        <v>110</v>
      </c>
      <c r="B117" s="150" t="str">
        <f t="shared" si="19"/>
        <v>DF1</v>
      </c>
      <c r="D117" t="s">
        <v>416</v>
      </c>
      <c r="E117">
        <f t="shared" ca="1" si="20"/>
        <v>0</v>
      </c>
      <c r="F117" t="e">
        <f t="shared" ca="1" si="28"/>
        <v>#REF!</v>
      </c>
      <c r="G117" t="s">
        <v>417</v>
      </c>
      <c r="H117" t="s">
        <v>421</v>
      </c>
      <c r="I117" t="e">
        <f t="shared" ca="1" si="21"/>
        <v>#REF!</v>
      </c>
      <c r="J117" t="e">
        <f t="shared" ca="1" si="22"/>
        <v>#REF!</v>
      </c>
      <c r="K117" t="s">
        <v>431</v>
      </c>
      <c r="L117" s="150" t="s">
        <v>423</v>
      </c>
      <c r="M117" s="150" t="s">
        <v>435</v>
      </c>
      <c r="N117" t="e">
        <f t="shared" ca="1" si="23"/>
        <v>#REF!</v>
      </c>
      <c r="O117" s="150" t="s">
        <v>412</v>
      </c>
      <c r="P117" s="150" t="s">
        <v>428</v>
      </c>
      <c r="Q117" s="150" t="s">
        <v>399</v>
      </c>
      <c r="R117" t="e">
        <f t="shared" ca="1" si="24"/>
        <v>#REF!</v>
      </c>
      <c r="S117" t="s">
        <v>398</v>
      </c>
      <c r="T117" t="s">
        <v>448</v>
      </c>
      <c r="U117" t="str">
        <f t="shared" ca="1" si="16"/>
        <v>Sheets("Master Data").Range("0" &amp; RowNo).Value</v>
      </c>
      <c r="V117" t="e">
        <f t="shared" ca="1" si="25"/>
        <v>#REF!</v>
      </c>
      <c r="X117" t="e">
        <f t="shared" ca="1" si="17"/>
        <v>#REF!</v>
      </c>
      <c r="Z117" t="e">
        <f t="shared" ca="1" si="18"/>
        <v>#REF!</v>
      </c>
      <c r="AB117" t="e">
        <f t="shared" ca="1" si="26"/>
        <v>#REF!</v>
      </c>
      <c r="AD117" t="e">
        <f t="shared" ca="1" si="27"/>
        <v>#REF!</v>
      </c>
    </row>
    <row r="118" spans="1:30" ht="15" x14ac:dyDescent="0.25">
      <c r="A118" s="150">
        <v>111</v>
      </c>
      <c r="B118" s="150" t="str">
        <f t="shared" si="19"/>
        <v>DG1</v>
      </c>
      <c r="D118" t="s">
        <v>416</v>
      </c>
      <c r="E118">
        <f t="shared" ca="1" si="20"/>
        <v>0</v>
      </c>
      <c r="F118" t="e">
        <f t="shared" ca="1" si="28"/>
        <v>#REF!</v>
      </c>
      <c r="G118" t="s">
        <v>417</v>
      </c>
      <c r="H118" t="s">
        <v>421</v>
      </c>
      <c r="I118" t="e">
        <f t="shared" ca="1" si="21"/>
        <v>#REF!</v>
      </c>
      <c r="J118" t="e">
        <f t="shared" ca="1" si="22"/>
        <v>#REF!</v>
      </c>
      <c r="K118" t="s">
        <v>431</v>
      </c>
      <c r="L118" s="150" t="s">
        <v>423</v>
      </c>
      <c r="M118" s="150" t="s">
        <v>435</v>
      </c>
      <c r="N118" t="e">
        <f t="shared" ca="1" si="23"/>
        <v>#REF!</v>
      </c>
      <c r="O118" s="150" t="s">
        <v>412</v>
      </c>
      <c r="P118" s="150" t="s">
        <v>428</v>
      </c>
      <c r="Q118" s="150" t="s">
        <v>399</v>
      </c>
      <c r="R118" t="e">
        <f t="shared" ca="1" si="24"/>
        <v>#REF!</v>
      </c>
      <c r="S118" t="s">
        <v>398</v>
      </c>
      <c r="T118" t="s">
        <v>448</v>
      </c>
      <c r="U118" t="str">
        <f t="shared" ca="1" si="16"/>
        <v>Sheets("Master Data").Range("0" &amp; RowNo).Value</v>
      </c>
      <c r="V118" t="e">
        <f t="shared" ca="1" si="25"/>
        <v>#REF!</v>
      </c>
      <c r="X118" t="e">
        <f t="shared" ca="1" si="17"/>
        <v>#REF!</v>
      </c>
      <c r="Z118" t="e">
        <f t="shared" ca="1" si="18"/>
        <v>#REF!</v>
      </c>
      <c r="AB118" t="e">
        <f t="shared" ca="1" si="26"/>
        <v>#REF!</v>
      </c>
      <c r="AD118" t="e">
        <f t="shared" ca="1" si="27"/>
        <v>#REF!</v>
      </c>
    </row>
    <row r="119" spans="1:30" ht="15" x14ac:dyDescent="0.25">
      <c r="A119" s="150">
        <v>112</v>
      </c>
      <c r="B119" s="150" t="str">
        <f t="shared" si="19"/>
        <v>DH1</v>
      </c>
      <c r="D119" t="s">
        <v>416</v>
      </c>
      <c r="E119">
        <f t="shared" ca="1" si="20"/>
        <v>0</v>
      </c>
      <c r="F119" t="e">
        <f t="shared" ca="1" si="28"/>
        <v>#REF!</v>
      </c>
      <c r="G119" t="s">
        <v>417</v>
      </c>
      <c r="H119" t="s">
        <v>421</v>
      </c>
      <c r="I119" t="e">
        <f t="shared" ca="1" si="21"/>
        <v>#REF!</v>
      </c>
      <c r="J119" t="e">
        <f t="shared" ca="1" si="22"/>
        <v>#REF!</v>
      </c>
      <c r="K119" t="s">
        <v>431</v>
      </c>
      <c r="L119" s="150" t="s">
        <v>423</v>
      </c>
      <c r="M119" s="150" t="s">
        <v>435</v>
      </c>
      <c r="N119" t="e">
        <f t="shared" ca="1" si="23"/>
        <v>#REF!</v>
      </c>
      <c r="O119" s="150" t="s">
        <v>412</v>
      </c>
      <c r="P119" s="150" t="s">
        <v>428</v>
      </c>
      <c r="Q119" s="150" t="s">
        <v>399</v>
      </c>
      <c r="R119" t="e">
        <f t="shared" ca="1" si="24"/>
        <v>#REF!</v>
      </c>
      <c r="S119" t="s">
        <v>398</v>
      </c>
      <c r="T119" t="s">
        <v>448</v>
      </c>
      <c r="U119" t="str">
        <f t="shared" ca="1" si="16"/>
        <v>Sheets("Master Data").Range("0" &amp; RowNo).Value</v>
      </c>
      <c r="V119" t="e">
        <f t="shared" ca="1" si="25"/>
        <v>#REF!</v>
      </c>
      <c r="X119" t="e">
        <f t="shared" ca="1" si="17"/>
        <v>#REF!</v>
      </c>
      <c r="Z119" t="e">
        <f t="shared" ca="1" si="18"/>
        <v>#REF!</v>
      </c>
      <c r="AB119" t="e">
        <f t="shared" ca="1" si="26"/>
        <v>#REF!</v>
      </c>
      <c r="AD119" t="e">
        <f t="shared" ca="1" si="27"/>
        <v>#REF!</v>
      </c>
    </row>
    <row r="120" spans="1:30" ht="15" x14ac:dyDescent="0.25">
      <c r="A120" s="150">
        <v>113</v>
      </c>
      <c r="B120" s="150" t="str">
        <f t="shared" si="19"/>
        <v>DI1</v>
      </c>
      <c r="D120" t="s">
        <v>416</v>
      </c>
      <c r="E120">
        <f t="shared" ca="1" si="20"/>
        <v>0</v>
      </c>
      <c r="F120" t="e">
        <f t="shared" ca="1" si="28"/>
        <v>#REF!</v>
      </c>
      <c r="G120" t="s">
        <v>417</v>
      </c>
      <c r="H120" t="s">
        <v>421</v>
      </c>
      <c r="I120" t="e">
        <f t="shared" ca="1" si="21"/>
        <v>#REF!</v>
      </c>
      <c r="J120" t="e">
        <f t="shared" ca="1" si="22"/>
        <v>#REF!</v>
      </c>
      <c r="K120" t="s">
        <v>431</v>
      </c>
      <c r="L120" s="150" t="s">
        <v>423</v>
      </c>
      <c r="M120" s="150" t="s">
        <v>435</v>
      </c>
      <c r="N120" t="e">
        <f t="shared" ca="1" si="23"/>
        <v>#REF!</v>
      </c>
      <c r="O120" s="150" t="s">
        <v>412</v>
      </c>
      <c r="P120" s="150" t="s">
        <v>428</v>
      </c>
      <c r="Q120" s="150" t="s">
        <v>399</v>
      </c>
      <c r="R120" t="e">
        <f t="shared" ca="1" si="24"/>
        <v>#REF!</v>
      </c>
      <c r="S120" t="s">
        <v>398</v>
      </c>
      <c r="T120" t="s">
        <v>448</v>
      </c>
      <c r="U120" t="str">
        <f t="shared" ca="1" si="16"/>
        <v>Sheets("Master Data").Range("0" &amp; RowNo).Value</v>
      </c>
      <c r="V120" t="e">
        <f t="shared" ca="1" si="25"/>
        <v>#REF!</v>
      </c>
      <c r="X120" t="e">
        <f t="shared" ca="1" si="17"/>
        <v>#REF!</v>
      </c>
      <c r="Z120" t="e">
        <f t="shared" ca="1" si="18"/>
        <v>#REF!</v>
      </c>
      <c r="AB120" t="e">
        <f t="shared" ca="1" si="26"/>
        <v>#REF!</v>
      </c>
      <c r="AD120" t="e">
        <f t="shared" ca="1" si="27"/>
        <v>#REF!</v>
      </c>
    </row>
    <row r="121" spans="1:30" ht="15" x14ac:dyDescent="0.25">
      <c r="A121" s="150">
        <v>114</v>
      </c>
      <c r="B121" s="150" t="str">
        <f t="shared" si="19"/>
        <v>DJ1</v>
      </c>
      <c r="D121" t="s">
        <v>416</v>
      </c>
      <c r="E121">
        <f t="shared" ca="1" si="20"/>
        <v>0</v>
      </c>
      <c r="F121" t="e">
        <f t="shared" ca="1" si="28"/>
        <v>#REF!</v>
      </c>
      <c r="G121" t="s">
        <v>417</v>
      </c>
      <c r="H121" t="s">
        <v>421</v>
      </c>
      <c r="I121" t="e">
        <f t="shared" ca="1" si="21"/>
        <v>#REF!</v>
      </c>
      <c r="J121" t="e">
        <f t="shared" ca="1" si="22"/>
        <v>#REF!</v>
      </c>
      <c r="K121" t="s">
        <v>431</v>
      </c>
      <c r="L121" s="150" t="s">
        <v>423</v>
      </c>
      <c r="M121" s="150" t="s">
        <v>435</v>
      </c>
      <c r="N121" t="e">
        <f t="shared" ca="1" si="23"/>
        <v>#REF!</v>
      </c>
      <c r="O121" s="150" t="s">
        <v>412</v>
      </c>
      <c r="P121" s="150" t="s">
        <v>428</v>
      </c>
      <c r="Q121" s="150" t="s">
        <v>399</v>
      </c>
      <c r="R121" t="e">
        <f t="shared" ca="1" si="24"/>
        <v>#REF!</v>
      </c>
      <c r="S121" t="s">
        <v>398</v>
      </c>
      <c r="T121" t="s">
        <v>448</v>
      </c>
      <c r="U121" t="str">
        <f t="shared" ca="1" si="16"/>
        <v>Sheets("Master Data").Range("0" &amp; RowNo).Value</v>
      </c>
      <c r="V121" t="e">
        <f t="shared" ca="1" si="25"/>
        <v>#REF!</v>
      </c>
      <c r="X121" t="e">
        <f t="shared" ca="1" si="17"/>
        <v>#REF!</v>
      </c>
      <c r="Z121" t="e">
        <f t="shared" ca="1" si="18"/>
        <v>#REF!</v>
      </c>
      <c r="AB121" t="e">
        <f t="shared" ca="1" si="26"/>
        <v>#REF!</v>
      </c>
      <c r="AD121" t="e">
        <f t="shared" ca="1" si="27"/>
        <v>#REF!</v>
      </c>
    </row>
    <row r="122" spans="1:30" ht="15" x14ac:dyDescent="0.25">
      <c r="A122" s="150">
        <v>115</v>
      </c>
      <c r="B122" s="150" t="str">
        <f t="shared" si="19"/>
        <v>DK1</v>
      </c>
      <c r="D122" t="s">
        <v>416</v>
      </c>
      <c r="E122">
        <f t="shared" ca="1" si="20"/>
        <v>0</v>
      </c>
      <c r="F122" t="e">
        <f t="shared" ca="1" si="28"/>
        <v>#REF!</v>
      </c>
      <c r="G122" t="s">
        <v>417</v>
      </c>
      <c r="H122" t="s">
        <v>421</v>
      </c>
      <c r="I122" t="e">
        <f t="shared" ca="1" si="21"/>
        <v>#REF!</v>
      </c>
      <c r="J122" t="e">
        <f t="shared" ca="1" si="22"/>
        <v>#REF!</v>
      </c>
      <c r="K122" t="s">
        <v>431</v>
      </c>
      <c r="L122" s="150" t="s">
        <v>423</v>
      </c>
      <c r="M122" s="150" t="s">
        <v>435</v>
      </c>
      <c r="N122" t="e">
        <f t="shared" ca="1" si="23"/>
        <v>#REF!</v>
      </c>
      <c r="O122" s="150" t="s">
        <v>412</v>
      </c>
      <c r="P122" s="150" t="s">
        <v>428</v>
      </c>
      <c r="Q122" s="150" t="s">
        <v>399</v>
      </c>
      <c r="R122" t="e">
        <f t="shared" ca="1" si="24"/>
        <v>#REF!</v>
      </c>
      <c r="S122" t="s">
        <v>398</v>
      </c>
      <c r="T122" t="s">
        <v>448</v>
      </c>
      <c r="U122" t="str">
        <f t="shared" ca="1" si="16"/>
        <v>Sheets("Master Data").Range("0" &amp; RowNo).Value</v>
      </c>
      <c r="V122" t="e">
        <f t="shared" ca="1" si="25"/>
        <v>#REF!</v>
      </c>
      <c r="X122" t="e">
        <f t="shared" ca="1" si="17"/>
        <v>#REF!</v>
      </c>
      <c r="Z122" t="e">
        <f t="shared" ca="1" si="18"/>
        <v>#REF!</v>
      </c>
      <c r="AB122" t="e">
        <f t="shared" ca="1" si="26"/>
        <v>#REF!</v>
      </c>
      <c r="AD122" t="e">
        <f t="shared" ca="1" si="27"/>
        <v>#REF!</v>
      </c>
    </row>
    <row r="123" spans="1:30" ht="15" x14ac:dyDescent="0.25">
      <c r="A123" s="150">
        <v>116</v>
      </c>
      <c r="B123" s="150" t="str">
        <f t="shared" si="19"/>
        <v>DL1</v>
      </c>
      <c r="D123" t="s">
        <v>416</v>
      </c>
      <c r="E123">
        <f t="shared" ca="1" si="20"/>
        <v>0</v>
      </c>
      <c r="F123" t="e">
        <f t="shared" ca="1" si="28"/>
        <v>#REF!</v>
      </c>
      <c r="G123" t="s">
        <v>417</v>
      </c>
      <c r="H123" t="s">
        <v>421</v>
      </c>
      <c r="I123" t="e">
        <f t="shared" ca="1" si="21"/>
        <v>#REF!</v>
      </c>
      <c r="J123" t="e">
        <f t="shared" ca="1" si="22"/>
        <v>#REF!</v>
      </c>
      <c r="K123" t="s">
        <v>431</v>
      </c>
      <c r="L123" s="150" t="s">
        <v>423</v>
      </c>
      <c r="M123" s="150" t="s">
        <v>435</v>
      </c>
      <c r="N123" t="e">
        <f t="shared" ca="1" si="23"/>
        <v>#REF!</v>
      </c>
      <c r="O123" s="150" t="s">
        <v>412</v>
      </c>
      <c r="P123" s="150" t="s">
        <v>428</v>
      </c>
      <c r="Q123" s="150" t="s">
        <v>399</v>
      </c>
      <c r="R123" t="e">
        <f t="shared" ca="1" si="24"/>
        <v>#REF!</v>
      </c>
      <c r="S123" t="s">
        <v>398</v>
      </c>
      <c r="T123" t="s">
        <v>448</v>
      </c>
      <c r="U123" t="str">
        <f t="shared" ca="1" si="16"/>
        <v>Sheets("Master Data").Range("0" &amp; RowNo).Value</v>
      </c>
      <c r="V123" t="e">
        <f t="shared" ca="1" si="25"/>
        <v>#REF!</v>
      </c>
      <c r="X123" t="e">
        <f t="shared" ca="1" si="17"/>
        <v>#REF!</v>
      </c>
      <c r="Z123" t="e">
        <f t="shared" ca="1" si="18"/>
        <v>#REF!</v>
      </c>
      <c r="AB123" t="e">
        <f t="shared" ca="1" si="26"/>
        <v>#REF!</v>
      </c>
      <c r="AD123" t="e">
        <f t="shared" ca="1" si="27"/>
        <v>#REF!</v>
      </c>
    </row>
    <row r="124" spans="1:30" ht="15" x14ac:dyDescent="0.25">
      <c r="A124" s="150">
        <v>117</v>
      </c>
      <c r="B124" s="150" t="str">
        <f t="shared" si="19"/>
        <v>DM1</v>
      </c>
      <c r="D124" t="s">
        <v>416</v>
      </c>
      <c r="E124">
        <f t="shared" ca="1" si="20"/>
        <v>0</v>
      </c>
      <c r="F124" t="e">
        <f t="shared" ca="1" si="28"/>
        <v>#REF!</v>
      </c>
      <c r="G124" t="s">
        <v>417</v>
      </c>
      <c r="H124" t="s">
        <v>421</v>
      </c>
      <c r="I124" t="e">
        <f t="shared" ca="1" si="21"/>
        <v>#REF!</v>
      </c>
      <c r="J124" t="e">
        <f t="shared" ca="1" si="22"/>
        <v>#REF!</v>
      </c>
      <c r="K124" t="s">
        <v>431</v>
      </c>
      <c r="L124" s="150" t="s">
        <v>423</v>
      </c>
      <c r="M124" s="150" t="s">
        <v>435</v>
      </c>
      <c r="N124" t="e">
        <f t="shared" ca="1" si="23"/>
        <v>#REF!</v>
      </c>
      <c r="O124" s="150" t="s">
        <v>412</v>
      </c>
      <c r="P124" s="150" t="s">
        <v>428</v>
      </c>
      <c r="Q124" s="150" t="s">
        <v>399</v>
      </c>
      <c r="R124" t="e">
        <f t="shared" ca="1" si="24"/>
        <v>#REF!</v>
      </c>
      <c r="S124" t="s">
        <v>398</v>
      </c>
      <c r="T124" t="s">
        <v>448</v>
      </c>
      <c r="U124" t="str">
        <f t="shared" ca="1" si="16"/>
        <v>Sheets("Master Data").Range("0" &amp; RowNo).Value</v>
      </c>
      <c r="V124" t="e">
        <f t="shared" ca="1" si="25"/>
        <v>#REF!</v>
      </c>
      <c r="X124" t="e">
        <f t="shared" ca="1" si="17"/>
        <v>#REF!</v>
      </c>
      <c r="Z124" t="e">
        <f t="shared" ca="1" si="18"/>
        <v>#REF!</v>
      </c>
      <c r="AB124" t="e">
        <f t="shared" ca="1" si="26"/>
        <v>#REF!</v>
      </c>
      <c r="AD124" t="e">
        <f t="shared" ca="1" si="27"/>
        <v>#REF!</v>
      </c>
    </row>
    <row r="125" spans="1:30" ht="15" x14ac:dyDescent="0.25">
      <c r="A125" s="150">
        <v>118</v>
      </c>
      <c r="B125" s="150" t="str">
        <f t="shared" si="19"/>
        <v>DN1</v>
      </c>
      <c r="D125" t="s">
        <v>416</v>
      </c>
      <c r="E125">
        <f t="shared" ca="1" si="20"/>
        <v>0</v>
      </c>
      <c r="F125" t="e">
        <f t="shared" ca="1" si="28"/>
        <v>#REF!</v>
      </c>
      <c r="G125" t="s">
        <v>417</v>
      </c>
      <c r="H125" t="s">
        <v>421</v>
      </c>
      <c r="I125" t="e">
        <f t="shared" ca="1" si="21"/>
        <v>#REF!</v>
      </c>
      <c r="J125" t="e">
        <f t="shared" ca="1" si="22"/>
        <v>#REF!</v>
      </c>
      <c r="K125" t="s">
        <v>431</v>
      </c>
      <c r="L125" s="150" t="s">
        <v>423</v>
      </c>
      <c r="M125" s="150" t="s">
        <v>435</v>
      </c>
      <c r="N125" t="e">
        <f t="shared" ca="1" si="23"/>
        <v>#REF!</v>
      </c>
      <c r="O125" s="150" t="s">
        <v>412</v>
      </c>
      <c r="P125" s="150" t="s">
        <v>428</v>
      </c>
      <c r="Q125" s="150" t="s">
        <v>399</v>
      </c>
      <c r="R125" t="e">
        <f t="shared" ca="1" si="24"/>
        <v>#REF!</v>
      </c>
      <c r="S125" t="s">
        <v>398</v>
      </c>
      <c r="T125" t="s">
        <v>448</v>
      </c>
      <c r="U125" t="str">
        <f t="shared" ca="1" si="16"/>
        <v>Sheets("Master Data").Range("0" &amp; RowNo).Value</v>
      </c>
      <c r="V125" t="e">
        <f t="shared" ca="1" si="25"/>
        <v>#REF!</v>
      </c>
      <c r="X125" t="e">
        <f t="shared" ca="1" si="17"/>
        <v>#REF!</v>
      </c>
      <c r="Z125" t="e">
        <f t="shared" ca="1" si="18"/>
        <v>#REF!</v>
      </c>
      <c r="AB125" t="e">
        <f t="shared" ca="1" si="26"/>
        <v>#REF!</v>
      </c>
      <c r="AD125" t="e">
        <f t="shared" ca="1" si="27"/>
        <v>#REF!</v>
      </c>
    </row>
    <row r="126" spans="1:30" ht="15" x14ac:dyDescent="0.25">
      <c r="A126" s="150">
        <v>119</v>
      </c>
      <c r="B126" s="150" t="str">
        <f t="shared" si="19"/>
        <v>DO1</v>
      </c>
      <c r="D126" t="s">
        <v>416</v>
      </c>
      <c r="E126">
        <f t="shared" ca="1" si="20"/>
        <v>0</v>
      </c>
      <c r="F126" t="e">
        <f t="shared" ca="1" si="28"/>
        <v>#REF!</v>
      </c>
      <c r="G126" t="s">
        <v>417</v>
      </c>
      <c r="H126" t="s">
        <v>421</v>
      </c>
      <c r="I126" t="e">
        <f t="shared" ca="1" si="21"/>
        <v>#REF!</v>
      </c>
      <c r="J126" t="e">
        <f t="shared" ca="1" si="22"/>
        <v>#REF!</v>
      </c>
      <c r="K126" t="s">
        <v>431</v>
      </c>
      <c r="L126" s="150" t="s">
        <v>423</v>
      </c>
      <c r="M126" s="150" t="s">
        <v>435</v>
      </c>
      <c r="N126" t="e">
        <f t="shared" ca="1" si="23"/>
        <v>#REF!</v>
      </c>
      <c r="O126" s="150" t="s">
        <v>412</v>
      </c>
      <c r="P126" s="150" t="s">
        <v>428</v>
      </c>
      <c r="Q126" s="150" t="s">
        <v>399</v>
      </c>
      <c r="R126" t="e">
        <f t="shared" ca="1" si="24"/>
        <v>#REF!</v>
      </c>
      <c r="S126" t="s">
        <v>398</v>
      </c>
      <c r="T126" t="s">
        <v>448</v>
      </c>
      <c r="U126" t="str">
        <f t="shared" ca="1" si="16"/>
        <v>Sheets("Master Data").Range("0" &amp; RowNo).Value</v>
      </c>
      <c r="V126" t="e">
        <f t="shared" ca="1" si="25"/>
        <v>#REF!</v>
      </c>
      <c r="X126" t="e">
        <f t="shared" ca="1" si="17"/>
        <v>#REF!</v>
      </c>
      <c r="Z126" t="e">
        <f t="shared" ca="1" si="18"/>
        <v>#REF!</v>
      </c>
      <c r="AB126" t="e">
        <f t="shared" ca="1" si="26"/>
        <v>#REF!</v>
      </c>
      <c r="AD126" t="e">
        <f t="shared" ca="1" si="27"/>
        <v>#REF!</v>
      </c>
    </row>
    <row r="127" spans="1:30" ht="15" x14ac:dyDescent="0.25">
      <c r="A127" s="150">
        <v>120</v>
      </c>
      <c r="B127" s="150" t="str">
        <f t="shared" si="19"/>
        <v>DP1</v>
      </c>
      <c r="D127" t="s">
        <v>416</v>
      </c>
      <c r="E127">
        <f t="shared" ca="1" si="20"/>
        <v>0</v>
      </c>
      <c r="F127" t="e">
        <f t="shared" ca="1" si="28"/>
        <v>#REF!</v>
      </c>
      <c r="G127" t="s">
        <v>417</v>
      </c>
      <c r="H127" t="s">
        <v>421</v>
      </c>
      <c r="I127" t="e">
        <f t="shared" ca="1" si="21"/>
        <v>#REF!</v>
      </c>
      <c r="J127" t="e">
        <f t="shared" ca="1" si="22"/>
        <v>#REF!</v>
      </c>
      <c r="K127" t="s">
        <v>431</v>
      </c>
      <c r="L127" s="150" t="s">
        <v>423</v>
      </c>
      <c r="M127" s="150" t="s">
        <v>435</v>
      </c>
      <c r="N127" t="e">
        <f t="shared" ca="1" si="23"/>
        <v>#REF!</v>
      </c>
      <c r="O127" s="150" t="s">
        <v>412</v>
      </c>
      <c r="P127" s="150" t="s">
        <v>428</v>
      </c>
      <c r="Q127" s="150" t="s">
        <v>399</v>
      </c>
      <c r="R127" t="e">
        <f t="shared" ca="1" si="24"/>
        <v>#REF!</v>
      </c>
      <c r="S127" t="s">
        <v>398</v>
      </c>
      <c r="T127" t="s">
        <v>448</v>
      </c>
      <c r="U127" t="str">
        <f t="shared" ca="1" si="16"/>
        <v>Sheets("Master Data").Range("0" &amp; RowNo).Value</v>
      </c>
      <c r="V127" t="e">
        <f t="shared" ca="1" si="25"/>
        <v>#REF!</v>
      </c>
      <c r="X127" t="e">
        <f t="shared" ca="1" si="17"/>
        <v>#REF!</v>
      </c>
      <c r="Z127" t="e">
        <f t="shared" ca="1" si="18"/>
        <v>#REF!</v>
      </c>
      <c r="AB127" t="e">
        <f t="shared" ca="1" si="26"/>
        <v>#REF!</v>
      </c>
      <c r="AD127" t="e">
        <f t="shared" ca="1" si="27"/>
        <v>#REF!</v>
      </c>
    </row>
    <row r="128" spans="1:30" ht="15" x14ac:dyDescent="0.25">
      <c r="A128" s="150">
        <v>121</v>
      </c>
      <c r="B128" s="150" t="str">
        <f t="shared" si="19"/>
        <v>DQ1</v>
      </c>
      <c r="D128" t="s">
        <v>416</v>
      </c>
      <c r="E128">
        <f t="shared" ca="1" si="20"/>
        <v>0</v>
      </c>
      <c r="F128" t="e">
        <f t="shared" ca="1" si="28"/>
        <v>#REF!</v>
      </c>
      <c r="G128" t="s">
        <v>417</v>
      </c>
      <c r="H128" t="s">
        <v>421</v>
      </c>
      <c r="I128" t="e">
        <f t="shared" ca="1" si="21"/>
        <v>#REF!</v>
      </c>
      <c r="J128" t="e">
        <f t="shared" ca="1" si="22"/>
        <v>#REF!</v>
      </c>
      <c r="K128" t="s">
        <v>431</v>
      </c>
      <c r="L128" s="150" t="s">
        <v>423</v>
      </c>
      <c r="M128" s="150" t="s">
        <v>435</v>
      </c>
      <c r="N128" t="e">
        <f t="shared" ca="1" si="23"/>
        <v>#REF!</v>
      </c>
      <c r="O128" s="150" t="s">
        <v>412</v>
      </c>
      <c r="P128" s="150" t="s">
        <v>428</v>
      </c>
      <c r="Q128" s="150" t="s">
        <v>399</v>
      </c>
      <c r="R128" t="e">
        <f t="shared" ca="1" si="24"/>
        <v>#REF!</v>
      </c>
      <c r="S128" t="s">
        <v>398</v>
      </c>
      <c r="T128" t="s">
        <v>448</v>
      </c>
      <c r="U128" t="str">
        <f t="shared" ca="1" si="16"/>
        <v>Sheets("Master Data").Range("0" &amp; RowNo).Value</v>
      </c>
      <c r="V128" t="e">
        <f t="shared" ca="1" si="25"/>
        <v>#REF!</v>
      </c>
      <c r="X128" t="e">
        <f t="shared" ca="1" si="17"/>
        <v>#REF!</v>
      </c>
      <c r="Z128" t="e">
        <f t="shared" ca="1" si="18"/>
        <v>#REF!</v>
      </c>
      <c r="AB128" t="e">
        <f t="shared" ca="1" si="26"/>
        <v>#REF!</v>
      </c>
      <c r="AD128" t="e">
        <f t="shared" ca="1" si="27"/>
        <v>#REF!</v>
      </c>
    </row>
    <row r="129" spans="1:30" ht="15" x14ac:dyDescent="0.25">
      <c r="A129" s="150">
        <v>122</v>
      </c>
      <c r="B129" s="150" t="str">
        <f t="shared" si="19"/>
        <v>DR1</v>
      </c>
      <c r="D129" t="s">
        <v>416</v>
      </c>
      <c r="E129">
        <f t="shared" ca="1" si="20"/>
        <v>0</v>
      </c>
      <c r="F129" t="e">
        <f t="shared" ca="1" si="28"/>
        <v>#REF!</v>
      </c>
      <c r="G129" t="s">
        <v>417</v>
      </c>
      <c r="H129" t="s">
        <v>421</v>
      </c>
      <c r="I129" t="e">
        <f t="shared" ca="1" si="21"/>
        <v>#REF!</v>
      </c>
      <c r="J129" t="e">
        <f t="shared" ca="1" si="22"/>
        <v>#REF!</v>
      </c>
      <c r="K129" t="s">
        <v>431</v>
      </c>
      <c r="L129" s="150" t="s">
        <v>423</v>
      </c>
      <c r="M129" s="150" t="s">
        <v>435</v>
      </c>
      <c r="N129" t="e">
        <f t="shared" ca="1" si="23"/>
        <v>#REF!</v>
      </c>
      <c r="O129" s="150" t="s">
        <v>412</v>
      </c>
      <c r="P129" s="150" t="s">
        <v>428</v>
      </c>
      <c r="Q129" s="150" t="s">
        <v>399</v>
      </c>
      <c r="R129" t="e">
        <f t="shared" ca="1" si="24"/>
        <v>#REF!</v>
      </c>
      <c r="S129" t="s">
        <v>398</v>
      </c>
      <c r="T129" t="s">
        <v>448</v>
      </c>
      <c r="U129" t="str">
        <f t="shared" ca="1" si="16"/>
        <v>Sheets("Master Data").Range("0" &amp; RowNo).Value</v>
      </c>
      <c r="V129" t="e">
        <f t="shared" ca="1" si="25"/>
        <v>#REF!</v>
      </c>
      <c r="X129" t="e">
        <f t="shared" ca="1" si="17"/>
        <v>#REF!</v>
      </c>
      <c r="Z129" t="e">
        <f t="shared" ca="1" si="18"/>
        <v>#REF!</v>
      </c>
      <c r="AB129" t="e">
        <f t="shared" ca="1" si="26"/>
        <v>#REF!</v>
      </c>
      <c r="AD129" t="e">
        <f t="shared" ca="1" si="27"/>
        <v>#REF!</v>
      </c>
    </row>
    <row r="130" spans="1:30" ht="15" x14ac:dyDescent="0.25">
      <c r="A130" s="150">
        <v>123</v>
      </c>
      <c r="B130" s="150" t="str">
        <f t="shared" si="19"/>
        <v>DS1</v>
      </c>
      <c r="D130" t="s">
        <v>416</v>
      </c>
      <c r="E130">
        <f t="shared" ca="1" si="20"/>
        <v>0</v>
      </c>
      <c r="F130" t="e">
        <f t="shared" ca="1" si="28"/>
        <v>#REF!</v>
      </c>
      <c r="G130" t="s">
        <v>417</v>
      </c>
      <c r="H130" t="s">
        <v>421</v>
      </c>
      <c r="I130" t="e">
        <f t="shared" ca="1" si="21"/>
        <v>#REF!</v>
      </c>
      <c r="J130" t="e">
        <f t="shared" ca="1" si="22"/>
        <v>#REF!</v>
      </c>
      <c r="K130" t="s">
        <v>431</v>
      </c>
      <c r="L130" s="150" t="s">
        <v>423</v>
      </c>
      <c r="M130" s="150" t="s">
        <v>435</v>
      </c>
      <c r="N130" t="e">
        <f t="shared" ca="1" si="23"/>
        <v>#REF!</v>
      </c>
      <c r="O130" s="150" t="s">
        <v>412</v>
      </c>
      <c r="P130" s="150" t="s">
        <v>428</v>
      </c>
      <c r="Q130" s="150" t="s">
        <v>399</v>
      </c>
      <c r="R130" t="e">
        <f t="shared" ca="1" si="24"/>
        <v>#REF!</v>
      </c>
      <c r="S130" t="s">
        <v>398</v>
      </c>
      <c r="T130" t="s">
        <v>448</v>
      </c>
      <c r="U130" t="str">
        <f t="shared" ca="1" si="16"/>
        <v>Sheets("Master Data").Range("0" &amp; RowNo).Value</v>
      </c>
      <c r="V130" t="e">
        <f t="shared" ca="1" si="25"/>
        <v>#REF!</v>
      </c>
      <c r="X130" t="e">
        <f t="shared" ca="1" si="17"/>
        <v>#REF!</v>
      </c>
      <c r="Z130" t="e">
        <f t="shared" ca="1" si="18"/>
        <v>#REF!</v>
      </c>
      <c r="AB130" t="e">
        <f t="shared" ca="1" si="26"/>
        <v>#REF!</v>
      </c>
      <c r="AD130" t="e">
        <f t="shared" ca="1" si="27"/>
        <v>#REF!</v>
      </c>
    </row>
    <row r="131" spans="1:30" ht="15" x14ac:dyDescent="0.25">
      <c r="A131" s="150">
        <v>124</v>
      </c>
      <c r="B131" s="150" t="str">
        <f t="shared" si="19"/>
        <v>DT1</v>
      </c>
      <c r="D131" t="s">
        <v>416</v>
      </c>
      <c r="E131">
        <f t="shared" ca="1" si="20"/>
        <v>0</v>
      </c>
      <c r="F131" t="e">
        <f t="shared" ca="1" si="28"/>
        <v>#REF!</v>
      </c>
      <c r="G131" t="s">
        <v>417</v>
      </c>
      <c r="H131" t="s">
        <v>421</v>
      </c>
      <c r="I131" t="e">
        <f t="shared" ca="1" si="21"/>
        <v>#REF!</v>
      </c>
      <c r="J131" t="e">
        <f t="shared" ca="1" si="22"/>
        <v>#REF!</v>
      </c>
      <c r="K131" t="s">
        <v>431</v>
      </c>
      <c r="L131" s="150" t="s">
        <v>423</v>
      </c>
      <c r="M131" s="150" t="s">
        <v>435</v>
      </c>
      <c r="N131" t="e">
        <f t="shared" ca="1" si="23"/>
        <v>#REF!</v>
      </c>
      <c r="O131" s="150" t="s">
        <v>412</v>
      </c>
      <c r="P131" s="150" t="s">
        <v>428</v>
      </c>
      <c r="Q131" s="150" t="s">
        <v>399</v>
      </c>
      <c r="R131" t="e">
        <f t="shared" ca="1" si="24"/>
        <v>#REF!</v>
      </c>
      <c r="S131" t="s">
        <v>398</v>
      </c>
      <c r="T131" t="s">
        <v>448</v>
      </c>
      <c r="U131" t="str">
        <f t="shared" ca="1" si="16"/>
        <v>Sheets("Master Data").Range("0" &amp; RowNo).Value</v>
      </c>
      <c r="V131" t="e">
        <f t="shared" ca="1" si="25"/>
        <v>#REF!</v>
      </c>
      <c r="X131" t="e">
        <f t="shared" ca="1" si="17"/>
        <v>#REF!</v>
      </c>
      <c r="Z131" t="e">
        <f t="shared" ca="1" si="18"/>
        <v>#REF!</v>
      </c>
      <c r="AB131" t="e">
        <f t="shared" ca="1" si="26"/>
        <v>#REF!</v>
      </c>
      <c r="AD131" t="e">
        <f t="shared" ca="1" si="27"/>
        <v>#REF!</v>
      </c>
    </row>
    <row r="132" spans="1:30" ht="15" x14ac:dyDescent="0.25">
      <c r="A132" s="150">
        <v>125</v>
      </c>
      <c r="B132" s="150" t="str">
        <f t="shared" si="19"/>
        <v>DU1</v>
      </c>
      <c r="D132" t="s">
        <v>416</v>
      </c>
      <c r="E132">
        <f t="shared" ca="1" si="20"/>
        <v>0</v>
      </c>
      <c r="F132" t="e">
        <f t="shared" ca="1" si="28"/>
        <v>#REF!</v>
      </c>
      <c r="G132" t="s">
        <v>417</v>
      </c>
      <c r="H132" t="s">
        <v>421</v>
      </c>
      <c r="I132" t="e">
        <f t="shared" ca="1" si="21"/>
        <v>#REF!</v>
      </c>
      <c r="J132" t="e">
        <f t="shared" ca="1" si="22"/>
        <v>#REF!</v>
      </c>
      <c r="K132" t="s">
        <v>431</v>
      </c>
      <c r="L132" s="150" t="s">
        <v>423</v>
      </c>
      <c r="M132" s="150" t="s">
        <v>435</v>
      </c>
      <c r="N132" t="e">
        <f t="shared" ca="1" si="23"/>
        <v>#REF!</v>
      </c>
      <c r="O132" s="150" t="s">
        <v>412</v>
      </c>
      <c r="P132" s="150" t="s">
        <v>428</v>
      </c>
      <c r="Q132" s="150" t="s">
        <v>399</v>
      </c>
      <c r="R132" t="e">
        <f t="shared" ca="1" si="24"/>
        <v>#REF!</v>
      </c>
      <c r="S132" t="s">
        <v>398</v>
      </c>
      <c r="T132" t="s">
        <v>448</v>
      </c>
      <c r="U132" t="str">
        <f t="shared" ca="1" si="16"/>
        <v>Sheets("Master Data").Range("0" &amp; RowNo).Value</v>
      </c>
      <c r="V132" t="e">
        <f t="shared" ca="1" si="25"/>
        <v>#REF!</v>
      </c>
      <c r="X132" t="e">
        <f t="shared" ca="1" si="17"/>
        <v>#REF!</v>
      </c>
      <c r="Z132" t="e">
        <f t="shared" ca="1" si="18"/>
        <v>#REF!</v>
      </c>
      <c r="AB132" t="e">
        <f t="shared" ca="1" si="26"/>
        <v>#REF!</v>
      </c>
      <c r="AD132" t="e">
        <f t="shared" ca="1" si="27"/>
        <v>#REF!</v>
      </c>
    </row>
    <row r="133" spans="1:30" ht="15" x14ac:dyDescent="0.25">
      <c r="A133" s="150">
        <v>126</v>
      </c>
      <c r="B133" s="150" t="str">
        <f t="shared" si="19"/>
        <v>DV1</v>
      </c>
      <c r="D133" t="s">
        <v>416</v>
      </c>
      <c r="E133">
        <f t="shared" ca="1" si="20"/>
        <v>0</v>
      </c>
      <c r="F133" t="e">
        <f t="shared" ca="1" si="28"/>
        <v>#REF!</v>
      </c>
      <c r="G133" t="s">
        <v>417</v>
      </c>
      <c r="H133" t="s">
        <v>421</v>
      </c>
      <c r="I133" t="e">
        <f t="shared" ca="1" si="21"/>
        <v>#REF!</v>
      </c>
      <c r="J133" t="e">
        <f t="shared" ca="1" si="22"/>
        <v>#REF!</v>
      </c>
      <c r="K133" t="s">
        <v>431</v>
      </c>
      <c r="L133" s="150" t="s">
        <v>423</v>
      </c>
      <c r="M133" s="150" t="s">
        <v>435</v>
      </c>
      <c r="N133" t="e">
        <f t="shared" ca="1" si="23"/>
        <v>#REF!</v>
      </c>
      <c r="O133" s="150" t="s">
        <v>412</v>
      </c>
      <c r="P133" s="150" t="s">
        <v>428</v>
      </c>
      <c r="Q133" s="150" t="s">
        <v>399</v>
      </c>
      <c r="R133" t="e">
        <f t="shared" ca="1" si="24"/>
        <v>#REF!</v>
      </c>
      <c r="S133" t="s">
        <v>398</v>
      </c>
      <c r="T133" t="s">
        <v>448</v>
      </c>
      <c r="U133" t="str">
        <f t="shared" ca="1" si="16"/>
        <v>Sheets("Master Data").Range("0" &amp; RowNo).Value</v>
      </c>
      <c r="V133" t="e">
        <f t="shared" ca="1" si="25"/>
        <v>#REF!</v>
      </c>
      <c r="X133" t="e">
        <f t="shared" ca="1" si="17"/>
        <v>#REF!</v>
      </c>
      <c r="Z133" t="e">
        <f t="shared" ca="1" si="18"/>
        <v>#REF!</v>
      </c>
      <c r="AB133" t="e">
        <f t="shared" ca="1" si="26"/>
        <v>#REF!</v>
      </c>
      <c r="AD133" t="e">
        <f t="shared" ca="1" si="27"/>
        <v>#REF!</v>
      </c>
    </row>
    <row r="134" spans="1:30" ht="15" x14ac:dyDescent="0.25">
      <c r="A134" s="150">
        <v>127</v>
      </c>
      <c r="B134" s="150" t="str">
        <f t="shared" si="19"/>
        <v>DW1</v>
      </c>
      <c r="D134" t="s">
        <v>416</v>
      </c>
      <c r="E134">
        <f t="shared" ca="1" si="20"/>
        <v>0</v>
      </c>
      <c r="F134" t="e">
        <f t="shared" ca="1" si="28"/>
        <v>#REF!</v>
      </c>
      <c r="G134" t="s">
        <v>417</v>
      </c>
      <c r="H134" t="s">
        <v>421</v>
      </c>
      <c r="I134" t="e">
        <f t="shared" ca="1" si="21"/>
        <v>#REF!</v>
      </c>
      <c r="J134" t="e">
        <f t="shared" ca="1" si="22"/>
        <v>#REF!</v>
      </c>
      <c r="K134" t="s">
        <v>431</v>
      </c>
      <c r="L134" s="150" t="s">
        <v>423</v>
      </c>
      <c r="M134" s="150" t="s">
        <v>435</v>
      </c>
      <c r="N134" t="e">
        <f t="shared" ca="1" si="23"/>
        <v>#REF!</v>
      </c>
      <c r="O134" s="150" t="s">
        <v>412</v>
      </c>
      <c r="P134" s="150" t="s">
        <v>428</v>
      </c>
      <c r="Q134" s="150" t="s">
        <v>399</v>
      </c>
      <c r="R134" t="e">
        <f t="shared" ca="1" si="24"/>
        <v>#REF!</v>
      </c>
      <c r="S134" t="s">
        <v>398</v>
      </c>
      <c r="T134" t="s">
        <v>448</v>
      </c>
      <c r="U134" t="str">
        <f t="shared" ca="1" si="16"/>
        <v>Sheets("Master Data").Range("0" &amp; RowNo).Value</v>
      </c>
      <c r="V134" t="e">
        <f t="shared" ca="1" si="25"/>
        <v>#REF!</v>
      </c>
      <c r="X134" t="e">
        <f t="shared" ca="1" si="17"/>
        <v>#REF!</v>
      </c>
      <c r="Z134" t="e">
        <f t="shared" ca="1" si="18"/>
        <v>#REF!</v>
      </c>
      <c r="AB134" t="e">
        <f t="shared" ca="1" si="26"/>
        <v>#REF!</v>
      </c>
      <c r="AD134" t="e">
        <f t="shared" ca="1" si="27"/>
        <v>#REF!</v>
      </c>
    </row>
    <row r="135" spans="1:30" ht="15" x14ac:dyDescent="0.25">
      <c r="A135" s="150">
        <v>128</v>
      </c>
      <c r="B135" s="150" t="str">
        <f t="shared" si="19"/>
        <v>DX1</v>
      </c>
      <c r="D135" t="s">
        <v>416</v>
      </c>
      <c r="E135">
        <f t="shared" ca="1" si="20"/>
        <v>0</v>
      </c>
      <c r="F135" t="e">
        <f t="shared" ca="1" si="28"/>
        <v>#REF!</v>
      </c>
      <c r="G135" t="s">
        <v>417</v>
      </c>
      <c r="H135" t="s">
        <v>421</v>
      </c>
      <c r="I135" t="e">
        <f t="shared" ca="1" si="21"/>
        <v>#REF!</v>
      </c>
      <c r="J135" t="e">
        <f t="shared" ca="1" si="22"/>
        <v>#REF!</v>
      </c>
      <c r="K135" t="s">
        <v>431</v>
      </c>
      <c r="L135" s="150" t="s">
        <v>423</v>
      </c>
      <c r="M135" s="150" t="s">
        <v>435</v>
      </c>
      <c r="N135" t="e">
        <f t="shared" ca="1" si="23"/>
        <v>#REF!</v>
      </c>
      <c r="O135" s="150" t="s">
        <v>412</v>
      </c>
      <c r="P135" s="150" t="s">
        <v>428</v>
      </c>
      <c r="Q135" s="150" t="s">
        <v>399</v>
      </c>
      <c r="R135" t="e">
        <f t="shared" ca="1" si="24"/>
        <v>#REF!</v>
      </c>
      <c r="S135" t="s">
        <v>398</v>
      </c>
      <c r="T135" t="s">
        <v>448</v>
      </c>
      <c r="U135" t="str">
        <f t="shared" ca="1" si="16"/>
        <v>Sheets("Master Data").Range("0" &amp; RowNo).Value</v>
      </c>
      <c r="V135" t="e">
        <f t="shared" ca="1" si="25"/>
        <v>#REF!</v>
      </c>
      <c r="X135" t="e">
        <f t="shared" ca="1" si="17"/>
        <v>#REF!</v>
      </c>
      <c r="Z135" t="e">
        <f t="shared" ca="1" si="18"/>
        <v>#REF!</v>
      </c>
      <c r="AB135" t="e">
        <f t="shared" ca="1" si="26"/>
        <v>#REF!</v>
      </c>
      <c r="AD135" t="e">
        <f t="shared" ca="1" si="27"/>
        <v>#REF!</v>
      </c>
    </row>
    <row r="136" spans="1:30" ht="15" x14ac:dyDescent="0.25">
      <c r="A136" s="150">
        <v>129</v>
      </c>
      <c r="B136" s="150" t="str">
        <f t="shared" si="19"/>
        <v>DY1</v>
      </c>
      <c r="D136" t="s">
        <v>416</v>
      </c>
      <c r="E136">
        <f t="shared" ca="1" si="20"/>
        <v>0</v>
      </c>
      <c r="F136" t="e">
        <f t="shared" ca="1" si="28"/>
        <v>#REF!</v>
      </c>
      <c r="G136" t="s">
        <v>417</v>
      </c>
      <c r="H136" t="s">
        <v>421</v>
      </c>
      <c r="I136" t="e">
        <f t="shared" ca="1" si="21"/>
        <v>#REF!</v>
      </c>
      <c r="J136" t="e">
        <f t="shared" ca="1" si="22"/>
        <v>#REF!</v>
      </c>
      <c r="K136" t="s">
        <v>431</v>
      </c>
      <c r="L136" s="150" t="s">
        <v>423</v>
      </c>
      <c r="M136" s="150" t="s">
        <v>435</v>
      </c>
      <c r="N136" t="e">
        <f t="shared" ca="1" si="23"/>
        <v>#REF!</v>
      </c>
      <c r="O136" s="150" t="s">
        <v>412</v>
      </c>
      <c r="P136" s="150" t="s">
        <v>428</v>
      </c>
      <c r="Q136" s="150" t="s">
        <v>399</v>
      </c>
      <c r="R136" t="e">
        <f t="shared" ca="1" si="24"/>
        <v>#REF!</v>
      </c>
      <c r="S136" t="s">
        <v>398</v>
      </c>
      <c r="T136" t="s">
        <v>448</v>
      </c>
      <c r="U136" t="str">
        <f t="shared" ref="U136:U199" ca="1" si="29">CONCATENATE(S136,L136,E136,L136,M136,K136,Q136)</f>
        <v>Sheets("Master Data").Range("0" &amp; RowNo).Value</v>
      </c>
      <c r="V136" t="e">
        <f t="shared" ca="1" si="25"/>
        <v>#REF!</v>
      </c>
      <c r="X136" t="e">
        <f t="shared" ref="X136:X199" ca="1" si="30">CONCATENATE(U136,O136,R136)</f>
        <v>#REF!</v>
      </c>
      <c r="Z136" t="e">
        <f t="shared" ref="Z136:Z199" ca="1" si="31">CONCATENATE(R136,O136,U136)</f>
        <v>#REF!</v>
      </c>
      <c r="AB136" t="e">
        <f t="shared" ca="1" si="26"/>
        <v>#REF!</v>
      </c>
      <c r="AD136" t="e">
        <f t="shared" ca="1" si="27"/>
        <v>#REF!</v>
      </c>
    </row>
    <row r="137" spans="1:30" ht="15" x14ac:dyDescent="0.25">
      <c r="A137" s="150">
        <v>130</v>
      </c>
      <c r="B137" s="150" t="str">
        <f t="shared" ref="B137:B200" si="32">ADDRESS(1, A137, 4)</f>
        <v>DZ1</v>
      </c>
      <c r="D137" t="s">
        <v>416</v>
      </c>
      <c r="E137">
        <f t="shared" ref="E137:E200" ca="1" si="33">INDIRECT("'Master Data'!" &amp; B137)</f>
        <v>0</v>
      </c>
      <c r="F137" t="e">
        <f t="shared" ca="1" si="28"/>
        <v>#REF!</v>
      </c>
      <c r="G137" t="s">
        <v>417</v>
      </c>
      <c r="H137" t="s">
        <v>421</v>
      </c>
      <c r="I137" t="e">
        <f t="shared" ref="I137:I200" ca="1" si="34">SUBSTITUTE(INDIRECT("'Master Data'!" &amp; E137 &amp; 2),"$","")</f>
        <v>#REF!</v>
      </c>
      <c r="J137" t="e">
        <f t="shared" ref="J137:J200" ca="1" si="35">SUBSTITUTE(INDIRECT("'Master Data'!" &amp; E137 &amp; 3),"$","")</f>
        <v>#REF!</v>
      </c>
      <c r="K137" t="s">
        <v>431</v>
      </c>
      <c r="L137" s="150" t="s">
        <v>423</v>
      </c>
      <c r="M137" s="150" t="s">
        <v>435</v>
      </c>
      <c r="N137" t="e">
        <f t="shared" ref="N137:N200" ca="1" si="36">INDIRECT("'Master Data'!" &amp; E137 &amp; 3)</f>
        <v>#REF!</v>
      </c>
      <c r="O137" s="150" t="s">
        <v>412</v>
      </c>
      <c r="P137" s="150" t="s">
        <v>428</v>
      </c>
      <c r="Q137" s="150" t="s">
        <v>399</v>
      </c>
      <c r="R137" t="e">
        <f t="shared" ref="R137:R200" ca="1" si="37">CONCATENATE(P137,L137,I137,L137,Q137)</f>
        <v>#REF!</v>
      </c>
      <c r="S137" t="s">
        <v>398</v>
      </c>
      <c r="T137" t="s">
        <v>448</v>
      </c>
      <c r="U137" t="str">
        <f t="shared" ca="1" si="29"/>
        <v>Sheets("Master Data").Range("0" &amp; RowNo).Value</v>
      </c>
      <c r="V137" t="e">
        <f t="shared" ref="V137:V200" ca="1" si="38">CONCATENATE(T137,L137,J137,L137,Q137)</f>
        <v>#REF!</v>
      </c>
      <c r="X137" t="e">
        <f t="shared" ca="1" si="30"/>
        <v>#REF!</v>
      </c>
      <c r="Z137" t="e">
        <f t="shared" ca="1" si="31"/>
        <v>#REF!</v>
      </c>
      <c r="AB137" t="e">
        <f t="shared" ref="AB137:AB200" ca="1" si="39">CONCATENATE(V137,O137,R137)</f>
        <v>#REF!</v>
      </c>
      <c r="AD137" t="e">
        <f t="shared" ca="1" si="27"/>
        <v>#REF!</v>
      </c>
    </row>
    <row r="138" spans="1:30" ht="15" x14ac:dyDescent="0.25">
      <c r="A138" s="150">
        <v>131</v>
      </c>
      <c r="B138" s="150" t="str">
        <f t="shared" si="32"/>
        <v>EA1</v>
      </c>
      <c r="D138" t="s">
        <v>416</v>
      </c>
      <c r="E138">
        <f t="shared" ca="1" si="33"/>
        <v>0</v>
      </c>
      <c r="F138" t="e">
        <f t="shared" ca="1" si="28"/>
        <v>#REF!</v>
      </c>
      <c r="G138" t="s">
        <v>417</v>
      </c>
      <c r="H138" t="s">
        <v>421</v>
      </c>
      <c r="I138" t="e">
        <f t="shared" ca="1" si="34"/>
        <v>#REF!</v>
      </c>
      <c r="J138" t="e">
        <f t="shared" ca="1" si="35"/>
        <v>#REF!</v>
      </c>
      <c r="K138" t="s">
        <v>431</v>
      </c>
      <c r="L138" s="150" t="s">
        <v>423</v>
      </c>
      <c r="M138" s="150" t="s">
        <v>435</v>
      </c>
      <c r="N138" t="e">
        <f t="shared" ca="1" si="36"/>
        <v>#REF!</v>
      </c>
      <c r="O138" s="150" t="s">
        <v>412</v>
      </c>
      <c r="P138" s="150" t="s">
        <v>428</v>
      </c>
      <c r="Q138" s="150" t="s">
        <v>399</v>
      </c>
      <c r="R138" t="e">
        <f t="shared" ca="1" si="37"/>
        <v>#REF!</v>
      </c>
      <c r="S138" t="s">
        <v>398</v>
      </c>
      <c r="T138" t="s">
        <v>448</v>
      </c>
      <c r="U138" t="str">
        <f t="shared" ca="1" si="29"/>
        <v>Sheets("Master Data").Range("0" &amp; RowNo).Value</v>
      </c>
      <c r="V138" t="e">
        <f t="shared" ca="1" si="38"/>
        <v>#REF!</v>
      </c>
      <c r="X138" t="e">
        <f t="shared" ca="1" si="30"/>
        <v>#REF!</v>
      </c>
      <c r="Z138" t="e">
        <f t="shared" ca="1" si="31"/>
        <v>#REF!</v>
      </c>
      <c r="AB138" t="e">
        <f t="shared" ca="1" si="39"/>
        <v>#REF!</v>
      </c>
      <c r="AD138" t="e">
        <f t="shared" ca="1" si="27"/>
        <v>#REF!</v>
      </c>
    </row>
    <row r="139" spans="1:30" ht="15" x14ac:dyDescent="0.25">
      <c r="A139" s="150">
        <v>132</v>
      </c>
      <c r="B139" s="150" t="str">
        <f t="shared" si="32"/>
        <v>EB1</v>
      </c>
      <c r="D139" t="s">
        <v>416</v>
      </c>
      <c r="E139">
        <f t="shared" ca="1" si="33"/>
        <v>0</v>
      </c>
      <c r="F139" t="e">
        <f t="shared" ca="1" si="28"/>
        <v>#REF!</v>
      </c>
      <c r="G139" t="s">
        <v>417</v>
      </c>
      <c r="H139" t="s">
        <v>421</v>
      </c>
      <c r="I139" t="e">
        <f t="shared" ca="1" si="34"/>
        <v>#REF!</v>
      </c>
      <c r="J139" t="e">
        <f t="shared" ca="1" si="35"/>
        <v>#REF!</v>
      </c>
      <c r="K139" t="s">
        <v>431</v>
      </c>
      <c r="L139" s="150" t="s">
        <v>423</v>
      </c>
      <c r="M139" s="150" t="s">
        <v>435</v>
      </c>
      <c r="N139" t="e">
        <f t="shared" ca="1" si="36"/>
        <v>#REF!</v>
      </c>
      <c r="O139" s="150" t="s">
        <v>412</v>
      </c>
      <c r="P139" s="150" t="s">
        <v>428</v>
      </c>
      <c r="Q139" s="150" t="s">
        <v>399</v>
      </c>
      <c r="R139" t="e">
        <f t="shared" ca="1" si="37"/>
        <v>#REF!</v>
      </c>
      <c r="S139" t="s">
        <v>398</v>
      </c>
      <c r="T139" t="s">
        <v>448</v>
      </c>
      <c r="U139" t="str">
        <f t="shared" ca="1" si="29"/>
        <v>Sheets("Master Data").Range("0" &amp; RowNo).Value</v>
      </c>
      <c r="V139" t="e">
        <f t="shared" ca="1" si="38"/>
        <v>#REF!</v>
      </c>
      <c r="X139" t="e">
        <f t="shared" ca="1" si="30"/>
        <v>#REF!</v>
      </c>
      <c r="Z139" t="e">
        <f t="shared" ca="1" si="31"/>
        <v>#REF!</v>
      </c>
      <c r="AB139" t="e">
        <f t="shared" ca="1" si="39"/>
        <v>#REF!</v>
      </c>
      <c r="AD139" t="e">
        <f t="shared" ca="1" si="27"/>
        <v>#REF!</v>
      </c>
    </row>
    <row r="140" spans="1:30" ht="15" x14ac:dyDescent="0.25">
      <c r="A140" s="150">
        <v>133</v>
      </c>
      <c r="B140" s="150" t="str">
        <f t="shared" si="32"/>
        <v>EC1</v>
      </c>
      <c r="D140" t="s">
        <v>416</v>
      </c>
      <c r="E140">
        <f t="shared" ca="1" si="33"/>
        <v>0</v>
      </c>
      <c r="F140" t="e">
        <f t="shared" ca="1" si="28"/>
        <v>#REF!</v>
      </c>
      <c r="G140" t="s">
        <v>417</v>
      </c>
      <c r="H140" t="s">
        <v>421</v>
      </c>
      <c r="I140" t="e">
        <f t="shared" ca="1" si="34"/>
        <v>#REF!</v>
      </c>
      <c r="J140" t="e">
        <f t="shared" ca="1" si="35"/>
        <v>#REF!</v>
      </c>
      <c r="K140" t="s">
        <v>431</v>
      </c>
      <c r="L140" s="150" t="s">
        <v>423</v>
      </c>
      <c r="M140" s="150" t="s">
        <v>435</v>
      </c>
      <c r="N140" t="e">
        <f t="shared" ca="1" si="36"/>
        <v>#REF!</v>
      </c>
      <c r="O140" s="150" t="s">
        <v>412</v>
      </c>
      <c r="P140" s="150" t="s">
        <v>428</v>
      </c>
      <c r="Q140" s="150" t="s">
        <v>399</v>
      </c>
      <c r="R140" t="e">
        <f t="shared" ca="1" si="37"/>
        <v>#REF!</v>
      </c>
      <c r="S140" t="s">
        <v>398</v>
      </c>
      <c r="T140" t="s">
        <v>448</v>
      </c>
      <c r="U140" t="str">
        <f t="shared" ca="1" si="29"/>
        <v>Sheets("Master Data").Range("0" &amp; RowNo).Value</v>
      </c>
      <c r="V140" t="e">
        <f t="shared" ca="1" si="38"/>
        <v>#REF!</v>
      </c>
      <c r="X140" t="e">
        <f t="shared" ca="1" si="30"/>
        <v>#REF!</v>
      </c>
      <c r="Z140" t="e">
        <f t="shared" ca="1" si="31"/>
        <v>#REF!</v>
      </c>
      <c r="AB140" t="e">
        <f t="shared" ca="1" si="39"/>
        <v>#REF!</v>
      </c>
      <c r="AD140" t="e">
        <f t="shared" ca="1" si="27"/>
        <v>#REF!</v>
      </c>
    </row>
    <row r="141" spans="1:30" ht="15" x14ac:dyDescent="0.25">
      <c r="A141" s="150">
        <v>134</v>
      </c>
      <c r="B141" s="150" t="str">
        <f t="shared" si="32"/>
        <v>ED1</v>
      </c>
      <c r="D141" t="s">
        <v>416</v>
      </c>
      <c r="E141">
        <f t="shared" ca="1" si="33"/>
        <v>0</v>
      </c>
      <c r="F141" t="e">
        <f t="shared" ca="1" si="28"/>
        <v>#REF!</v>
      </c>
      <c r="G141" t="s">
        <v>417</v>
      </c>
      <c r="H141" t="s">
        <v>421</v>
      </c>
      <c r="I141" t="e">
        <f t="shared" ca="1" si="34"/>
        <v>#REF!</v>
      </c>
      <c r="J141" t="e">
        <f t="shared" ca="1" si="35"/>
        <v>#REF!</v>
      </c>
      <c r="K141" t="s">
        <v>431</v>
      </c>
      <c r="L141" s="150" t="s">
        <v>423</v>
      </c>
      <c r="M141" s="150" t="s">
        <v>435</v>
      </c>
      <c r="N141" t="e">
        <f t="shared" ca="1" si="36"/>
        <v>#REF!</v>
      </c>
      <c r="O141" s="150" t="s">
        <v>412</v>
      </c>
      <c r="P141" s="150" t="s">
        <v>428</v>
      </c>
      <c r="Q141" s="150" t="s">
        <v>399</v>
      </c>
      <c r="R141" t="e">
        <f t="shared" ca="1" si="37"/>
        <v>#REF!</v>
      </c>
      <c r="S141" t="s">
        <v>398</v>
      </c>
      <c r="T141" t="s">
        <v>448</v>
      </c>
      <c r="U141" t="str">
        <f t="shared" ca="1" si="29"/>
        <v>Sheets("Master Data").Range("0" &amp; RowNo).Value</v>
      </c>
      <c r="V141" t="e">
        <f t="shared" ca="1" si="38"/>
        <v>#REF!</v>
      </c>
      <c r="X141" t="e">
        <f t="shared" ca="1" si="30"/>
        <v>#REF!</v>
      </c>
      <c r="Z141" t="e">
        <f t="shared" ca="1" si="31"/>
        <v>#REF!</v>
      </c>
      <c r="AB141" t="e">
        <f t="shared" ca="1" si="39"/>
        <v>#REF!</v>
      </c>
      <c r="AD141" t="e">
        <f t="shared" ca="1" si="27"/>
        <v>#REF!</v>
      </c>
    </row>
    <row r="142" spans="1:30" ht="15" x14ac:dyDescent="0.25">
      <c r="A142" s="150">
        <v>135</v>
      </c>
      <c r="B142" s="150" t="str">
        <f t="shared" si="32"/>
        <v>EE1</v>
      </c>
      <c r="D142" t="s">
        <v>416</v>
      </c>
      <c r="E142">
        <f t="shared" ca="1" si="33"/>
        <v>0</v>
      </c>
      <c r="F142" t="e">
        <f t="shared" ca="1" si="28"/>
        <v>#REF!</v>
      </c>
      <c r="G142" t="s">
        <v>417</v>
      </c>
      <c r="H142" t="s">
        <v>421</v>
      </c>
      <c r="I142" t="e">
        <f t="shared" ca="1" si="34"/>
        <v>#REF!</v>
      </c>
      <c r="J142" t="e">
        <f t="shared" ca="1" si="35"/>
        <v>#REF!</v>
      </c>
      <c r="K142" t="s">
        <v>431</v>
      </c>
      <c r="L142" s="150" t="s">
        <v>423</v>
      </c>
      <c r="M142" s="150" t="s">
        <v>435</v>
      </c>
      <c r="N142" t="e">
        <f t="shared" ca="1" si="36"/>
        <v>#REF!</v>
      </c>
      <c r="O142" s="150" t="s">
        <v>412</v>
      </c>
      <c r="P142" s="150" t="s">
        <v>428</v>
      </c>
      <c r="Q142" s="150" t="s">
        <v>399</v>
      </c>
      <c r="R142" t="e">
        <f t="shared" ca="1" si="37"/>
        <v>#REF!</v>
      </c>
      <c r="S142" t="s">
        <v>398</v>
      </c>
      <c r="T142" t="s">
        <v>448</v>
      </c>
      <c r="U142" t="str">
        <f t="shared" ca="1" si="29"/>
        <v>Sheets("Master Data").Range("0" &amp; RowNo).Value</v>
      </c>
      <c r="V142" t="e">
        <f t="shared" ca="1" si="38"/>
        <v>#REF!</v>
      </c>
      <c r="X142" t="e">
        <f t="shared" ca="1" si="30"/>
        <v>#REF!</v>
      </c>
      <c r="Z142" t="e">
        <f t="shared" ca="1" si="31"/>
        <v>#REF!</v>
      </c>
      <c r="AB142" t="e">
        <f t="shared" ca="1" si="39"/>
        <v>#REF!</v>
      </c>
      <c r="AD142" t="e">
        <f t="shared" ca="1" si="27"/>
        <v>#REF!</v>
      </c>
    </row>
    <row r="143" spans="1:30" ht="15" x14ac:dyDescent="0.25">
      <c r="A143" s="150">
        <v>136</v>
      </c>
      <c r="B143" s="150" t="str">
        <f t="shared" si="32"/>
        <v>EF1</v>
      </c>
      <c r="D143" t="s">
        <v>416</v>
      </c>
      <c r="E143">
        <f t="shared" ca="1" si="33"/>
        <v>0</v>
      </c>
      <c r="F143" t="e">
        <f t="shared" ca="1" si="28"/>
        <v>#REF!</v>
      </c>
      <c r="G143" t="s">
        <v>417</v>
      </c>
      <c r="H143" t="s">
        <v>421</v>
      </c>
      <c r="I143" t="e">
        <f t="shared" ca="1" si="34"/>
        <v>#REF!</v>
      </c>
      <c r="J143" t="e">
        <f t="shared" ca="1" si="35"/>
        <v>#REF!</v>
      </c>
      <c r="K143" t="s">
        <v>431</v>
      </c>
      <c r="L143" s="150" t="s">
        <v>423</v>
      </c>
      <c r="M143" s="150" t="s">
        <v>435</v>
      </c>
      <c r="N143" t="e">
        <f t="shared" ca="1" si="36"/>
        <v>#REF!</v>
      </c>
      <c r="O143" s="150" t="s">
        <v>412</v>
      </c>
      <c r="P143" s="150" t="s">
        <v>428</v>
      </c>
      <c r="Q143" s="150" t="s">
        <v>399</v>
      </c>
      <c r="R143" t="e">
        <f t="shared" ca="1" si="37"/>
        <v>#REF!</v>
      </c>
      <c r="S143" t="s">
        <v>398</v>
      </c>
      <c r="T143" t="s">
        <v>448</v>
      </c>
      <c r="U143" t="str">
        <f t="shared" ca="1" si="29"/>
        <v>Sheets("Master Data").Range("0" &amp; RowNo).Value</v>
      </c>
      <c r="V143" t="e">
        <f t="shared" ca="1" si="38"/>
        <v>#REF!</v>
      </c>
      <c r="X143" t="e">
        <f t="shared" ca="1" si="30"/>
        <v>#REF!</v>
      </c>
      <c r="Z143" t="e">
        <f t="shared" ca="1" si="31"/>
        <v>#REF!</v>
      </c>
      <c r="AB143" t="e">
        <f t="shared" ca="1" si="39"/>
        <v>#REF!</v>
      </c>
      <c r="AD143" t="e">
        <f t="shared" ca="1" si="27"/>
        <v>#REF!</v>
      </c>
    </row>
    <row r="144" spans="1:30" ht="15" x14ac:dyDescent="0.25">
      <c r="A144" s="150">
        <v>137</v>
      </c>
      <c r="B144" s="150" t="str">
        <f t="shared" si="32"/>
        <v>EG1</v>
      </c>
      <c r="D144" t="s">
        <v>416</v>
      </c>
      <c r="E144">
        <f t="shared" ca="1" si="33"/>
        <v>0</v>
      </c>
      <c r="F144" t="e">
        <f t="shared" ca="1" si="28"/>
        <v>#REF!</v>
      </c>
      <c r="G144" t="s">
        <v>417</v>
      </c>
      <c r="H144" t="s">
        <v>421</v>
      </c>
      <c r="I144" t="e">
        <f t="shared" ca="1" si="34"/>
        <v>#REF!</v>
      </c>
      <c r="J144" t="e">
        <f t="shared" ca="1" si="35"/>
        <v>#REF!</v>
      </c>
      <c r="K144" t="s">
        <v>431</v>
      </c>
      <c r="L144" s="150" t="s">
        <v>423</v>
      </c>
      <c r="M144" s="150" t="s">
        <v>435</v>
      </c>
      <c r="N144" t="e">
        <f t="shared" ca="1" si="36"/>
        <v>#REF!</v>
      </c>
      <c r="O144" s="150" t="s">
        <v>412</v>
      </c>
      <c r="P144" s="150" t="s">
        <v>428</v>
      </c>
      <c r="Q144" s="150" t="s">
        <v>399</v>
      </c>
      <c r="R144" t="e">
        <f t="shared" ca="1" si="37"/>
        <v>#REF!</v>
      </c>
      <c r="S144" t="s">
        <v>398</v>
      </c>
      <c r="T144" t="s">
        <v>448</v>
      </c>
      <c r="U144" t="str">
        <f t="shared" ca="1" si="29"/>
        <v>Sheets("Master Data").Range("0" &amp; RowNo).Value</v>
      </c>
      <c r="V144" t="e">
        <f t="shared" ca="1" si="38"/>
        <v>#REF!</v>
      </c>
      <c r="X144" t="e">
        <f t="shared" ca="1" si="30"/>
        <v>#REF!</v>
      </c>
      <c r="Z144" t="e">
        <f t="shared" ca="1" si="31"/>
        <v>#REF!</v>
      </c>
      <c r="AB144" t="e">
        <f t="shared" ca="1" si="39"/>
        <v>#REF!</v>
      </c>
      <c r="AD144" t="e">
        <f t="shared" ca="1" si="27"/>
        <v>#REF!</v>
      </c>
    </row>
    <row r="145" spans="1:30" ht="15" x14ac:dyDescent="0.25">
      <c r="A145" s="150">
        <v>138</v>
      </c>
      <c r="B145" s="150" t="str">
        <f t="shared" si="32"/>
        <v>EH1</v>
      </c>
      <c r="D145" t="s">
        <v>416</v>
      </c>
      <c r="E145">
        <f t="shared" ca="1" si="33"/>
        <v>0</v>
      </c>
      <c r="F145" t="e">
        <f t="shared" ca="1" si="28"/>
        <v>#REF!</v>
      </c>
      <c r="G145" t="s">
        <v>417</v>
      </c>
      <c r="H145" t="s">
        <v>421</v>
      </c>
      <c r="I145" t="e">
        <f t="shared" ca="1" si="34"/>
        <v>#REF!</v>
      </c>
      <c r="J145" t="e">
        <f t="shared" ca="1" si="35"/>
        <v>#REF!</v>
      </c>
      <c r="K145" t="s">
        <v>431</v>
      </c>
      <c r="L145" s="150" t="s">
        <v>423</v>
      </c>
      <c r="M145" s="150" t="s">
        <v>435</v>
      </c>
      <c r="N145" t="e">
        <f t="shared" ca="1" si="36"/>
        <v>#REF!</v>
      </c>
      <c r="O145" s="150" t="s">
        <v>412</v>
      </c>
      <c r="P145" s="150" t="s">
        <v>428</v>
      </c>
      <c r="Q145" s="150" t="s">
        <v>399</v>
      </c>
      <c r="R145" t="e">
        <f t="shared" ca="1" si="37"/>
        <v>#REF!</v>
      </c>
      <c r="S145" t="s">
        <v>398</v>
      </c>
      <c r="T145" t="s">
        <v>448</v>
      </c>
      <c r="U145" t="str">
        <f t="shared" ca="1" si="29"/>
        <v>Sheets("Master Data").Range("0" &amp; RowNo).Value</v>
      </c>
      <c r="V145" t="e">
        <f t="shared" ca="1" si="38"/>
        <v>#REF!</v>
      </c>
      <c r="X145" t="e">
        <f t="shared" ca="1" si="30"/>
        <v>#REF!</v>
      </c>
      <c r="Z145" t="e">
        <f t="shared" ca="1" si="31"/>
        <v>#REF!</v>
      </c>
      <c r="AB145" t="e">
        <f t="shared" ca="1" si="39"/>
        <v>#REF!</v>
      </c>
      <c r="AD145" t="e">
        <f t="shared" ref="AD145:AD208" ca="1" si="40">CONCATENATE(U145,O145,V145)</f>
        <v>#REF!</v>
      </c>
    </row>
    <row r="146" spans="1:30" ht="15" x14ac:dyDescent="0.25">
      <c r="A146" s="150">
        <v>139</v>
      </c>
      <c r="B146" s="150" t="str">
        <f t="shared" si="32"/>
        <v>EI1</v>
      </c>
      <c r="D146" t="s">
        <v>416</v>
      </c>
      <c r="E146">
        <f t="shared" ca="1" si="33"/>
        <v>0</v>
      </c>
      <c r="F146" t="e">
        <f t="shared" ca="1" si="28"/>
        <v>#REF!</v>
      </c>
      <c r="G146" t="s">
        <v>417</v>
      </c>
      <c r="H146" t="s">
        <v>421</v>
      </c>
      <c r="I146" t="e">
        <f t="shared" ca="1" si="34"/>
        <v>#REF!</v>
      </c>
      <c r="J146" t="e">
        <f t="shared" ca="1" si="35"/>
        <v>#REF!</v>
      </c>
      <c r="K146" t="s">
        <v>431</v>
      </c>
      <c r="L146" s="150" t="s">
        <v>423</v>
      </c>
      <c r="M146" s="150" t="s">
        <v>435</v>
      </c>
      <c r="N146" t="e">
        <f t="shared" ca="1" si="36"/>
        <v>#REF!</v>
      </c>
      <c r="O146" s="150" t="s">
        <v>412</v>
      </c>
      <c r="P146" s="150" t="s">
        <v>428</v>
      </c>
      <c r="Q146" s="150" t="s">
        <v>399</v>
      </c>
      <c r="R146" t="e">
        <f t="shared" ca="1" si="37"/>
        <v>#REF!</v>
      </c>
      <c r="S146" t="s">
        <v>398</v>
      </c>
      <c r="T146" t="s">
        <v>448</v>
      </c>
      <c r="U146" t="str">
        <f t="shared" ca="1" si="29"/>
        <v>Sheets("Master Data").Range("0" &amp; RowNo).Value</v>
      </c>
      <c r="V146" t="e">
        <f t="shared" ca="1" si="38"/>
        <v>#REF!</v>
      </c>
      <c r="X146" t="e">
        <f t="shared" ca="1" si="30"/>
        <v>#REF!</v>
      </c>
      <c r="Z146" t="e">
        <f t="shared" ca="1" si="31"/>
        <v>#REF!</v>
      </c>
      <c r="AB146" t="e">
        <f t="shared" ca="1" si="39"/>
        <v>#REF!</v>
      </c>
      <c r="AD146" t="e">
        <f t="shared" ca="1" si="40"/>
        <v>#REF!</v>
      </c>
    </row>
    <row r="147" spans="1:30" ht="15" x14ac:dyDescent="0.25">
      <c r="A147" s="150">
        <v>140</v>
      </c>
      <c r="B147" s="150" t="str">
        <f t="shared" si="32"/>
        <v>EJ1</v>
      </c>
      <c r="D147" t="s">
        <v>416</v>
      </c>
      <c r="E147">
        <f t="shared" ca="1" si="33"/>
        <v>0</v>
      </c>
      <c r="F147" t="e">
        <f t="shared" ca="1" si="28"/>
        <v>#REF!</v>
      </c>
      <c r="G147" t="s">
        <v>417</v>
      </c>
      <c r="H147" t="s">
        <v>421</v>
      </c>
      <c r="I147" t="e">
        <f t="shared" ca="1" si="34"/>
        <v>#REF!</v>
      </c>
      <c r="J147" t="e">
        <f t="shared" ca="1" si="35"/>
        <v>#REF!</v>
      </c>
      <c r="K147" t="s">
        <v>431</v>
      </c>
      <c r="L147" s="150" t="s">
        <v>423</v>
      </c>
      <c r="M147" s="150" t="s">
        <v>435</v>
      </c>
      <c r="N147" t="e">
        <f t="shared" ca="1" si="36"/>
        <v>#REF!</v>
      </c>
      <c r="O147" s="150" t="s">
        <v>412</v>
      </c>
      <c r="P147" s="150" t="s">
        <v>428</v>
      </c>
      <c r="Q147" s="150" t="s">
        <v>399</v>
      </c>
      <c r="R147" t="e">
        <f t="shared" ca="1" si="37"/>
        <v>#REF!</v>
      </c>
      <c r="S147" t="s">
        <v>398</v>
      </c>
      <c r="T147" t="s">
        <v>448</v>
      </c>
      <c r="U147" t="str">
        <f t="shared" ca="1" si="29"/>
        <v>Sheets("Master Data").Range("0" &amp; RowNo).Value</v>
      </c>
      <c r="V147" t="e">
        <f t="shared" ca="1" si="38"/>
        <v>#REF!</v>
      </c>
      <c r="X147" t="e">
        <f t="shared" ca="1" si="30"/>
        <v>#REF!</v>
      </c>
      <c r="Z147" t="e">
        <f t="shared" ca="1" si="31"/>
        <v>#REF!</v>
      </c>
      <c r="AB147" t="e">
        <f t="shared" ca="1" si="39"/>
        <v>#REF!</v>
      </c>
      <c r="AD147" t="e">
        <f t="shared" ca="1" si="40"/>
        <v>#REF!</v>
      </c>
    </row>
    <row r="148" spans="1:30" ht="15" x14ac:dyDescent="0.25">
      <c r="A148" s="150">
        <v>141</v>
      </c>
      <c r="B148" s="150" t="str">
        <f t="shared" si="32"/>
        <v>EK1</v>
      </c>
      <c r="D148" t="s">
        <v>416</v>
      </c>
      <c r="E148">
        <f t="shared" ca="1" si="33"/>
        <v>0</v>
      </c>
      <c r="F148" t="e">
        <f t="shared" ref="F148:F211" ca="1" si="41">SUBSTITUTE(INDIRECT("'Master Data'!" &amp; E148 &amp; 4)," ","_")</f>
        <v>#REF!</v>
      </c>
      <c r="G148" t="s">
        <v>417</v>
      </c>
      <c r="H148" t="s">
        <v>421</v>
      </c>
      <c r="I148" t="e">
        <f t="shared" ca="1" si="34"/>
        <v>#REF!</v>
      </c>
      <c r="J148" t="e">
        <f t="shared" ca="1" si="35"/>
        <v>#REF!</v>
      </c>
      <c r="K148" t="s">
        <v>431</v>
      </c>
      <c r="L148" s="150" t="s">
        <v>423</v>
      </c>
      <c r="M148" s="150" t="s">
        <v>435</v>
      </c>
      <c r="N148" t="e">
        <f t="shared" ca="1" si="36"/>
        <v>#REF!</v>
      </c>
      <c r="O148" s="150" t="s">
        <v>412</v>
      </c>
      <c r="P148" s="150" t="s">
        <v>428</v>
      </c>
      <c r="Q148" s="150" t="s">
        <v>399</v>
      </c>
      <c r="R148" t="e">
        <f t="shared" ca="1" si="37"/>
        <v>#REF!</v>
      </c>
      <c r="S148" t="s">
        <v>398</v>
      </c>
      <c r="T148" t="s">
        <v>448</v>
      </c>
      <c r="U148" t="str">
        <f t="shared" ca="1" si="29"/>
        <v>Sheets("Master Data").Range("0" &amp; RowNo).Value</v>
      </c>
      <c r="V148" t="e">
        <f t="shared" ca="1" si="38"/>
        <v>#REF!</v>
      </c>
      <c r="X148" t="e">
        <f t="shared" ca="1" si="30"/>
        <v>#REF!</v>
      </c>
      <c r="Z148" t="e">
        <f t="shared" ca="1" si="31"/>
        <v>#REF!</v>
      </c>
      <c r="AB148" t="e">
        <f t="shared" ca="1" si="39"/>
        <v>#REF!</v>
      </c>
      <c r="AD148" t="e">
        <f t="shared" ca="1" si="40"/>
        <v>#REF!</v>
      </c>
    </row>
    <row r="149" spans="1:30" ht="15" x14ac:dyDescent="0.25">
      <c r="A149" s="150">
        <v>142</v>
      </c>
      <c r="B149" s="150" t="str">
        <f t="shared" si="32"/>
        <v>EL1</v>
      </c>
      <c r="D149" t="s">
        <v>416</v>
      </c>
      <c r="E149">
        <f t="shared" ca="1" si="33"/>
        <v>0</v>
      </c>
      <c r="F149" t="e">
        <f t="shared" ca="1" si="41"/>
        <v>#REF!</v>
      </c>
      <c r="G149" t="s">
        <v>417</v>
      </c>
      <c r="H149" t="s">
        <v>421</v>
      </c>
      <c r="I149" t="e">
        <f t="shared" ca="1" si="34"/>
        <v>#REF!</v>
      </c>
      <c r="J149" t="e">
        <f t="shared" ca="1" si="35"/>
        <v>#REF!</v>
      </c>
      <c r="K149" t="s">
        <v>431</v>
      </c>
      <c r="L149" s="150" t="s">
        <v>423</v>
      </c>
      <c r="M149" s="150" t="s">
        <v>435</v>
      </c>
      <c r="N149" t="e">
        <f t="shared" ca="1" si="36"/>
        <v>#REF!</v>
      </c>
      <c r="O149" s="150" t="s">
        <v>412</v>
      </c>
      <c r="P149" s="150" t="s">
        <v>428</v>
      </c>
      <c r="Q149" s="150" t="s">
        <v>399</v>
      </c>
      <c r="R149" t="e">
        <f t="shared" ca="1" si="37"/>
        <v>#REF!</v>
      </c>
      <c r="S149" t="s">
        <v>398</v>
      </c>
      <c r="T149" t="s">
        <v>448</v>
      </c>
      <c r="U149" t="str">
        <f t="shared" ca="1" si="29"/>
        <v>Sheets("Master Data").Range("0" &amp; RowNo).Value</v>
      </c>
      <c r="V149" t="e">
        <f t="shared" ca="1" si="38"/>
        <v>#REF!</v>
      </c>
      <c r="X149" t="e">
        <f t="shared" ca="1" si="30"/>
        <v>#REF!</v>
      </c>
      <c r="Z149" t="e">
        <f t="shared" ca="1" si="31"/>
        <v>#REF!</v>
      </c>
      <c r="AB149" t="e">
        <f t="shared" ca="1" si="39"/>
        <v>#REF!</v>
      </c>
      <c r="AD149" t="e">
        <f t="shared" ca="1" si="40"/>
        <v>#REF!</v>
      </c>
    </row>
    <row r="150" spans="1:30" ht="15" x14ac:dyDescent="0.25">
      <c r="A150" s="150">
        <v>143</v>
      </c>
      <c r="B150" s="150" t="str">
        <f t="shared" si="32"/>
        <v>EM1</v>
      </c>
      <c r="D150" t="s">
        <v>416</v>
      </c>
      <c r="E150">
        <f t="shared" ca="1" si="33"/>
        <v>0</v>
      </c>
      <c r="F150" t="e">
        <f t="shared" ca="1" si="41"/>
        <v>#REF!</v>
      </c>
      <c r="G150" t="s">
        <v>417</v>
      </c>
      <c r="H150" t="s">
        <v>421</v>
      </c>
      <c r="I150" t="e">
        <f t="shared" ca="1" si="34"/>
        <v>#REF!</v>
      </c>
      <c r="J150" t="e">
        <f t="shared" ca="1" si="35"/>
        <v>#REF!</v>
      </c>
      <c r="K150" t="s">
        <v>431</v>
      </c>
      <c r="L150" s="150" t="s">
        <v>423</v>
      </c>
      <c r="M150" s="150" t="s">
        <v>435</v>
      </c>
      <c r="N150" t="e">
        <f t="shared" ca="1" si="36"/>
        <v>#REF!</v>
      </c>
      <c r="O150" s="150" t="s">
        <v>412</v>
      </c>
      <c r="P150" s="150" t="s">
        <v>428</v>
      </c>
      <c r="Q150" s="150" t="s">
        <v>399</v>
      </c>
      <c r="R150" t="e">
        <f t="shared" ca="1" si="37"/>
        <v>#REF!</v>
      </c>
      <c r="S150" t="s">
        <v>398</v>
      </c>
      <c r="T150" t="s">
        <v>448</v>
      </c>
      <c r="U150" t="str">
        <f t="shared" ca="1" si="29"/>
        <v>Sheets("Master Data").Range("0" &amp; RowNo).Value</v>
      </c>
      <c r="V150" t="e">
        <f t="shared" ca="1" si="38"/>
        <v>#REF!</v>
      </c>
      <c r="X150" t="e">
        <f t="shared" ca="1" si="30"/>
        <v>#REF!</v>
      </c>
      <c r="Z150" t="e">
        <f t="shared" ca="1" si="31"/>
        <v>#REF!</v>
      </c>
      <c r="AB150" t="e">
        <f t="shared" ca="1" si="39"/>
        <v>#REF!</v>
      </c>
      <c r="AD150" t="e">
        <f t="shared" ca="1" si="40"/>
        <v>#REF!</v>
      </c>
    </row>
    <row r="151" spans="1:30" ht="15" x14ac:dyDescent="0.25">
      <c r="A151" s="150">
        <v>144</v>
      </c>
      <c r="B151" s="150" t="str">
        <f t="shared" si="32"/>
        <v>EN1</v>
      </c>
      <c r="D151" t="s">
        <v>416</v>
      </c>
      <c r="E151">
        <f t="shared" ca="1" si="33"/>
        <v>0</v>
      </c>
      <c r="F151" t="e">
        <f t="shared" ca="1" si="41"/>
        <v>#REF!</v>
      </c>
      <c r="G151" t="s">
        <v>417</v>
      </c>
      <c r="H151" t="s">
        <v>421</v>
      </c>
      <c r="I151" t="e">
        <f t="shared" ca="1" si="34"/>
        <v>#REF!</v>
      </c>
      <c r="J151" t="e">
        <f t="shared" ca="1" si="35"/>
        <v>#REF!</v>
      </c>
      <c r="K151" t="s">
        <v>431</v>
      </c>
      <c r="L151" s="150" t="s">
        <v>423</v>
      </c>
      <c r="M151" s="150" t="s">
        <v>435</v>
      </c>
      <c r="N151" t="e">
        <f t="shared" ca="1" si="36"/>
        <v>#REF!</v>
      </c>
      <c r="O151" s="150" t="s">
        <v>412</v>
      </c>
      <c r="P151" s="150" t="s">
        <v>428</v>
      </c>
      <c r="Q151" s="150" t="s">
        <v>399</v>
      </c>
      <c r="R151" t="e">
        <f t="shared" ca="1" si="37"/>
        <v>#REF!</v>
      </c>
      <c r="S151" t="s">
        <v>398</v>
      </c>
      <c r="T151" t="s">
        <v>448</v>
      </c>
      <c r="U151" t="str">
        <f t="shared" ca="1" si="29"/>
        <v>Sheets("Master Data").Range("0" &amp; RowNo).Value</v>
      </c>
      <c r="V151" t="e">
        <f t="shared" ca="1" si="38"/>
        <v>#REF!</v>
      </c>
      <c r="X151" t="e">
        <f t="shared" ca="1" si="30"/>
        <v>#REF!</v>
      </c>
      <c r="Z151" t="e">
        <f t="shared" ca="1" si="31"/>
        <v>#REF!</v>
      </c>
      <c r="AB151" t="e">
        <f t="shared" ca="1" si="39"/>
        <v>#REF!</v>
      </c>
      <c r="AD151" t="e">
        <f t="shared" ca="1" si="40"/>
        <v>#REF!</v>
      </c>
    </row>
    <row r="152" spans="1:30" ht="15" x14ac:dyDescent="0.25">
      <c r="A152" s="150">
        <v>145</v>
      </c>
      <c r="B152" s="150" t="str">
        <f t="shared" si="32"/>
        <v>EO1</v>
      </c>
      <c r="D152" t="s">
        <v>416</v>
      </c>
      <c r="E152">
        <f t="shared" ca="1" si="33"/>
        <v>0</v>
      </c>
      <c r="F152" t="e">
        <f t="shared" ca="1" si="41"/>
        <v>#REF!</v>
      </c>
      <c r="G152" t="s">
        <v>417</v>
      </c>
      <c r="H152" t="s">
        <v>421</v>
      </c>
      <c r="I152" t="e">
        <f t="shared" ca="1" si="34"/>
        <v>#REF!</v>
      </c>
      <c r="J152" t="e">
        <f t="shared" ca="1" si="35"/>
        <v>#REF!</v>
      </c>
      <c r="K152" t="s">
        <v>431</v>
      </c>
      <c r="L152" s="150" t="s">
        <v>423</v>
      </c>
      <c r="M152" s="150" t="s">
        <v>435</v>
      </c>
      <c r="N152" t="e">
        <f t="shared" ca="1" si="36"/>
        <v>#REF!</v>
      </c>
      <c r="O152" s="150" t="s">
        <v>412</v>
      </c>
      <c r="P152" s="150" t="s">
        <v>428</v>
      </c>
      <c r="Q152" s="150" t="s">
        <v>399</v>
      </c>
      <c r="R152" t="e">
        <f t="shared" ca="1" si="37"/>
        <v>#REF!</v>
      </c>
      <c r="S152" t="s">
        <v>398</v>
      </c>
      <c r="T152" t="s">
        <v>448</v>
      </c>
      <c r="U152" t="str">
        <f t="shared" ca="1" si="29"/>
        <v>Sheets("Master Data").Range("0" &amp; RowNo).Value</v>
      </c>
      <c r="V152" t="e">
        <f t="shared" ca="1" si="38"/>
        <v>#REF!</v>
      </c>
      <c r="X152" t="e">
        <f t="shared" ca="1" si="30"/>
        <v>#REF!</v>
      </c>
      <c r="Z152" t="e">
        <f t="shared" ca="1" si="31"/>
        <v>#REF!</v>
      </c>
      <c r="AB152" t="e">
        <f t="shared" ca="1" si="39"/>
        <v>#REF!</v>
      </c>
      <c r="AD152" t="e">
        <f t="shared" ca="1" si="40"/>
        <v>#REF!</v>
      </c>
    </row>
    <row r="153" spans="1:30" ht="15" x14ac:dyDescent="0.25">
      <c r="A153" s="150">
        <v>146</v>
      </c>
      <c r="B153" s="150" t="str">
        <f t="shared" si="32"/>
        <v>EP1</v>
      </c>
      <c r="D153" t="s">
        <v>416</v>
      </c>
      <c r="E153">
        <f t="shared" ca="1" si="33"/>
        <v>0</v>
      </c>
      <c r="F153" t="e">
        <f t="shared" ca="1" si="41"/>
        <v>#REF!</v>
      </c>
      <c r="G153" t="s">
        <v>417</v>
      </c>
      <c r="H153" t="s">
        <v>421</v>
      </c>
      <c r="I153" t="e">
        <f t="shared" ca="1" si="34"/>
        <v>#REF!</v>
      </c>
      <c r="J153" t="e">
        <f t="shared" ca="1" si="35"/>
        <v>#REF!</v>
      </c>
      <c r="K153" t="s">
        <v>431</v>
      </c>
      <c r="L153" s="150" t="s">
        <v>423</v>
      </c>
      <c r="M153" s="150" t="s">
        <v>435</v>
      </c>
      <c r="N153" t="e">
        <f t="shared" ca="1" si="36"/>
        <v>#REF!</v>
      </c>
      <c r="O153" s="150" t="s">
        <v>412</v>
      </c>
      <c r="P153" s="150" t="s">
        <v>428</v>
      </c>
      <c r="Q153" s="150" t="s">
        <v>399</v>
      </c>
      <c r="R153" t="e">
        <f t="shared" ca="1" si="37"/>
        <v>#REF!</v>
      </c>
      <c r="S153" t="s">
        <v>398</v>
      </c>
      <c r="T153" t="s">
        <v>448</v>
      </c>
      <c r="U153" t="str">
        <f t="shared" ca="1" si="29"/>
        <v>Sheets("Master Data").Range("0" &amp; RowNo).Value</v>
      </c>
      <c r="V153" t="e">
        <f t="shared" ca="1" si="38"/>
        <v>#REF!</v>
      </c>
      <c r="X153" t="e">
        <f t="shared" ca="1" si="30"/>
        <v>#REF!</v>
      </c>
      <c r="Z153" t="e">
        <f t="shared" ca="1" si="31"/>
        <v>#REF!</v>
      </c>
      <c r="AB153" t="e">
        <f t="shared" ca="1" si="39"/>
        <v>#REF!</v>
      </c>
      <c r="AD153" t="e">
        <f t="shared" ca="1" si="40"/>
        <v>#REF!</v>
      </c>
    </row>
    <row r="154" spans="1:30" ht="15" x14ac:dyDescent="0.25">
      <c r="A154" s="150">
        <v>147</v>
      </c>
      <c r="B154" s="150" t="str">
        <f t="shared" si="32"/>
        <v>EQ1</v>
      </c>
      <c r="D154" t="s">
        <v>416</v>
      </c>
      <c r="E154">
        <f t="shared" ca="1" si="33"/>
        <v>0</v>
      </c>
      <c r="F154" t="e">
        <f t="shared" ca="1" si="41"/>
        <v>#REF!</v>
      </c>
      <c r="G154" t="s">
        <v>417</v>
      </c>
      <c r="H154" t="s">
        <v>421</v>
      </c>
      <c r="I154" t="e">
        <f t="shared" ca="1" si="34"/>
        <v>#REF!</v>
      </c>
      <c r="J154" t="e">
        <f t="shared" ca="1" si="35"/>
        <v>#REF!</v>
      </c>
      <c r="K154" t="s">
        <v>431</v>
      </c>
      <c r="L154" s="150" t="s">
        <v>423</v>
      </c>
      <c r="M154" s="150" t="s">
        <v>435</v>
      </c>
      <c r="N154" t="e">
        <f t="shared" ca="1" si="36"/>
        <v>#REF!</v>
      </c>
      <c r="O154" s="150" t="s">
        <v>412</v>
      </c>
      <c r="P154" s="150" t="s">
        <v>428</v>
      </c>
      <c r="Q154" s="150" t="s">
        <v>399</v>
      </c>
      <c r="R154" t="e">
        <f t="shared" ca="1" si="37"/>
        <v>#REF!</v>
      </c>
      <c r="S154" t="s">
        <v>398</v>
      </c>
      <c r="T154" t="s">
        <v>448</v>
      </c>
      <c r="U154" t="str">
        <f t="shared" ca="1" si="29"/>
        <v>Sheets("Master Data").Range("0" &amp; RowNo).Value</v>
      </c>
      <c r="V154" t="e">
        <f t="shared" ca="1" si="38"/>
        <v>#REF!</v>
      </c>
      <c r="X154" t="e">
        <f t="shared" ca="1" si="30"/>
        <v>#REF!</v>
      </c>
      <c r="Z154" t="e">
        <f t="shared" ca="1" si="31"/>
        <v>#REF!</v>
      </c>
      <c r="AB154" t="e">
        <f t="shared" ca="1" si="39"/>
        <v>#REF!</v>
      </c>
      <c r="AD154" t="e">
        <f t="shared" ca="1" si="40"/>
        <v>#REF!</v>
      </c>
    </row>
    <row r="155" spans="1:30" ht="15" x14ac:dyDescent="0.25">
      <c r="A155" s="150">
        <v>148</v>
      </c>
      <c r="B155" s="150" t="str">
        <f t="shared" si="32"/>
        <v>ER1</v>
      </c>
      <c r="D155" t="s">
        <v>416</v>
      </c>
      <c r="E155">
        <f t="shared" ca="1" si="33"/>
        <v>0</v>
      </c>
      <c r="F155" t="e">
        <f t="shared" ca="1" si="41"/>
        <v>#REF!</v>
      </c>
      <c r="G155" t="s">
        <v>417</v>
      </c>
      <c r="H155" t="s">
        <v>421</v>
      </c>
      <c r="I155" t="e">
        <f t="shared" ca="1" si="34"/>
        <v>#REF!</v>
      </c>
      <c r="J155" t="e">
        <f t="shared" ca="1" si="35"/>
        <v>#REF!</v>
      </c>
      <c r="K155" t="s">
        <v>431</v>
      </c>
      <c r="L155" s="150" t="s">
        <v>423</v>
      </c>
      <c r="M155" s="150" t="s">
        <v>435</v>
      </c>
      <c r="N155" t="e">
        <f t="shared" ca="1" si="36"/>
        <v>#REF!</v>
      </c>
      <c r="O155" s="150" t="s">
        <v>412</v>
      </c>
      <c r="P155" s="150" t="s">
        <v>428</v>
      </c>
      <c r="Q155" s="150" t="s">
        <v>399</v>
      </c>
      <c r="R155" t="e">
        <f t="shared" ca="1" si="37"/>
        <v>#REF!</v>
      </c>
      <c r="S155" t="s">
        <v>398</v>
      </c>
      <c r="T155" t="s">
        <v>448</v>
      </c>
      <c r="U155" t="str">
        <f t="shared" ca="1" si="29"/>
        <v>Sheets("Master Data").Range("0" &amp; RowNo).Value</v>
      </c>
      <c r="V155" t="e">
        <f t="shared" ca="1" si="38"/>
        <v>#REF!</v>
      </c>
      <c r="X155" t="e">
        <f t="shared" ca="1" si="30"/>
        <v>#REF!</v>
      </c>
      <c r="Z155" t="e">
        <f t="shared" ca="1" si="31"/>
        <v>#REF!</v>
      </c>
      <c r="AB155" t="e">
        <f t="shared" ca="1" si="39"/>
        <v>#REF!</v>
      </c>
      <c r="AD155" t="e">
        <f t="shared" ca="1" si="40"/>
        <v>#REF!</v>
      </c>
    </row>
    <row r="156" spans="1:30" ht="15" x14ac:dyDescent="0.25">
      <c r="A156" s="150">
        <v>149</v>
      </c>
      <c r="B156" s="150" t="str">
        <f t="shared" si="32"/>
        <v>ES1</v>
      </c>
      <c r="D156" t="s">
        <v>416</v>
      </c>
      <c r="E156">
        <f t="shared" ca="1" si="33"/>
        <v>0</v>
      </c>
      <c r="F156" t="e">
        <f t="shared" ca="1" si="41"/>
        <v>#REF!</v>
      </c>
      <c r="G156" t="s">
        <v>417</v>
      </c>
      <c r="H156" t="s">
        <v>421</v>
      </c>
      <c r="I156" t="e">
        <f t="shared" ca="1" si="34"/>
        <v>#REF!</v>
      </c>
      <c r="J156" t="e">
        <f t="shared" ca="1" si="35"/>
        <v>#REF!</v>
      </c>
      <c r="K156" t="s">
        <v>431</v>
      </c>
      <c r="L156" s="150" t="s">
        <v>423</v>
      </c>
      <c r="M156" s="150" t="s">
        <v>435</v>
      </c>
      <c r="N156" t="e">
        <f t="shared" ca="1" si="36"/>
        <v>#REF!</v>
      </c>
      <c r="O156" s="150" t="s">
        <v>412</v>
      </c>
      <c r="P156" s="150" t="s">
        <v>428</v>
      </c>
      <c r="Q156" s="150" t="s">
        <v>399</v>
      </c>
      <c r="R156" t="e">
        <f t="shared" ca="1" si="37"/>
        <v>#REF!</v>
      </c>
      <c r="S156" t="s">
        <v>398</v>
      </c>
      <c r="T156" t="s">
        <v>448</v>
      </c>
      <c r="U156" t="str">
        <f t="shared" ca="1" si="29"/>
        <v>Sheets("Master Data").Range("0" &amp; RowNo).Value</v>
      </c>
      <c r="V156" t="e">
        <f t="shared" ca="1" si="38"/>
        <v>#REF!</v>
      </c>
      <c r="X156" t="e">
        <f t="shared" ca="1" si="30"/>
        <v>#REF!</v>
      </c>
      <c r="Z156" t="e">
        <f t="shared" ca="1" si="31"/>
        <v>#REF!</v>
      </c>
      <c r="AB156" t="e">
        <f t="shared" ca="1" si="39"/>
        <v>#REF!</v>
      </c>
      <c r="AD156" t="e">
        <f t="shared" ca="1" si="40"/>
        <v>#REF!</v>
      </c>
    </row>
    <row r="157" spans="1:30" ht="15" x14ac:dyDescent="0.25">
      <c r="A157" s="150">
        <v>150</v>
      </c>
      <c r="B157" s="150" t="str">
        <f t="shared" si="32"/>
        <v>ET1</v>
      </c>
      <c r="D157" t="s">
        <v>416</v>
      </c>
      <c r="E157">
        <f t="shared" ca="1" si="33"/>
        <v>0</v>
      </c>
      <c r="F157" t="e">
        <f t="shared" ca="1" si="41"/>
        <v>#REF!</v>
      </c>
      <c r="G157" t="s">
        <v>417</v>
      </c>
      <c r="H157" t="s">
        <v>421</v>
      </c>
      <c r="I157" t="e">
        <f t="shared" ca="1" si="34"/>
        <v>#REF!</v>
      </c>
      <c r="J157" t="e">
        <f t="shared" ca="1" si="35"/>
        <v>#REF!</v>
      </c>
      <c r="K157" t="s">
        <v>431</v>
      </c>
      <c r="L157" s="150" t="s">
        <v>423</v>
      </c>
      <c r="M157" s="150" t="s">
        <v>435</v>
      </c>
      <c r="N157" t="e">
        <f t="shared" ca="1" si="36"/>
        <v>#REF!</v>
      </c>
      <c r="O157" s="150" t="s">
        <v>412</v>
      </c>
      <c r="P157" s="150" t="s">
        <v>428</v>
      </c>
      <c r="Q157" s="150" t="s">
        <v>399</v>
      </c>
      <c r="R157" t="e">
        <f t="shared" ca="1" si="37"/>
        <v>#REF!</v>
      </c>
      <c r="S157" t="s">
        <v>398</v>
      </c>
      <c r="T157" t="s">
        <v>448</v>
      </c>
      <c r="U157" t="str">
        <f t="shared" ca="1" si="29"/>
        <v>Sheets("Master Data").Range("0" &amp; RowNo).Value</v>
      </c>
      <c r="V157" t="e">
        <f t="shared" ca="1" si="38"/>
        <v>#REF!</v>
      </c>
      <c r="X157" t="e">
        <f t="shared" ca="1" si="30"/>
        <v>#REF!</v>
      </c>
      <c r="Z157" t="e">
        <f t="shared" ca="1" si="31"/>
        <v>#REF!</v>
      </c>
      <c r="AB157" t="e">
        <f t="shared" ca="1" si="39"/>
        <v>#REF!</v>
      </c>
      <c r="AD157" t="e">
        <f t="shared" ca="1" si="40"/>
        <v>#REF!</v>
      </c>
    </row>
    <row r="158" spans="1:30" ht="15" x14ac:dyDescent="0.25">
      <c r="A158" s="150">
        <v>151</v>
      </c>
      <c r="B158" s="150" t="str">
        <f t="shared" si="32"/>
        <v>EU1</v>
      </c>
      <c r="D158" t="s">
        <v>416</v>
      </c>
      <c r="E158">
        <f t="shared" ca="1" si="33"/>
        <v>0</v>
      </c>
      <c r="F158" t="e">
        <f t="shared" ca="1" si="41"/>
        <v>#REF!</v>
      </c>
      <c r="G158" t="s">
        <v>417</v>
      </c>
      <c r="H158" t="s">
        <v>421</v>
      </c>
      <c r="I158" t="e">
        <f t="shared" ca="1" si="34"/>
        <v>#REF!</v>
      </c>
      <c r="J158" t="e">
        <f t="shared" ca="1" si="35"/>
        <v>#REF!</v>
      </c>
      <c r="K158" t="s">
        <v>431</v>
      </c>
      <c r="L158" s="150" t="s">
        <v>423</v>
      </c>
      <c r="M158" s="150" t="s">
        <v>435</v>
      </c>
      <c r="N158" t="e">
        <f t="shared" ca="1" si="36"/>
        <v>#REF!</v>
      </c>
      <c r="O158" s="150" t="s">
        <v>412</v>
      </c>
      <c r="P158" s="150" t="s">
        <v>428</v>
      </c>
      <c r="Q158" s="150" t="s">
        <v>399</v>
      </c>
      <c r="R158" t="e">
        <f t="shared" ca="1" si="37"/>
        <v>#REF!</v>
      </c>
      <c r="S158" t="s">
        <v>398</v>
      </c>
      <c r="T158" t="s">
        <v>448</v>
      </c>
      <c r="U158" t="str">
        <f t="shared" ca="1" si="29"/>
        <v>Sheets("Master Data").Range("0" &amp; RowNo).Value</v>
      </c>
      <c r="V158" t="e">
        <f t="shared" ca="1" si="38"/>
        <v>#REF!</v>
      </c>
      <c r="X158" t="e">
        <f t="shared" ca="1" si="30"/>
        <v>#REF!</v>
      </c>
      <c r="Z158" t="e">
        <f t="shared" ca="1" si="31"/>
        <v>#REF!</v>
      </c>
      <c r="AB158" t="e">
        <f t="shared" ca="1" si="39"/>
        <v>#REF!</v>
      </c>
      <c r="AD158" t="e">
        <f t="shared" ca="1" si="40"/>
        <v>#REF!</v>
      </c>
    </row>
    <row r="159" spans="1:30" ht="15" x14ac:dyDescent="0.25">
      <c r="A159" s="150">
        <v>152</v>
      </c>
      <c r="B159" s="150" t="str">
        <f t="shared" si="32"/>
        <v>EV1</v>
      </c>
      <c r="D159" t="s">
        <v>416</v>
      </c>
      <c r="E159">
        <f t="shared" ca="1" si="33"/>
        <v>0</v>
      </c>
      <c r="F159" t="e">
        <f t="shared" ca="1" si="41"/>
        <v>#REF!</v>
      </c>
      <c r="G159" t="s">
        <v>417</v>
      </c>
      <c r="H159" t="s">
        <v>421</v>
      </c>
      <c r="I159" t="e">
        <f t="shared" ca="1" si="34"/>
        <v>#REF!</v>
      </c>
      <c r="J159" t="e">
        <f t="shared" ca="1" si="35"/>
        <v>#REF!</v>
      </c>
      <c r="K159" t="s">
        <v>431</v>
      </c>
      <c r="L159" s="150" t="s">
        <v>423</v>
      </c>
      <c r="M159" s="150" t="s">
        <v>435</v>
      </c>
      <c r="N159" t="e">
        <f t="shared" ca="1" si="36"/>
        <v>#REF!</v>
      </c>
      <c r="O159" s="150" t="s">
        <v>412</v>
      </c>
      <c r="P159" s="150" t="s">
        <v>428</v>
      </c>
      <c r="Q159" s="150" t="s">
        <v>399</v>
      </c>
      <c r="R159" t="e">
        <f t="shared" ca="1" si="37"/>
        <v>#REF!</v>
      </c>
      <c r="S159" t="s">
        <v>398</v>
      </c>
      <c r="T159" t="s">
        <v>448</v>
      </c>
      <c r="U159" t="str">
        <f t="shared" ca="1" si="29"/>
        <v>Sheets("Master Data").Range("0" &amp; RowNo).Value</v>
      </c>
      <c r="V159" t="e">
        <f t="shared" ca="1" si="38"/>
        <v>#REF!</v>
      </c>
      <c r="X159" t="e">
        <f t="shared" ca="1" si="30"/>
        <v>#REF!</v>
      </c>
      <c r="Z159" t="e">
        <f t="shared" ca="1" si="31"/>
        <v>#REF!</v>
      </c>
      <c r="AB159" t="e">
        <f t="shared" ca="1" si="39"/>
        <v>#REF!</v>
      </c>
      <c r="AD159" t="e">
        <f t="shared" ca="1" si="40"/>
        <v>#REF!</v>
      </c>
    </row>
    <row r="160" spans="1:30" ht="15" x14ac:dyDescent="0.25">
      <c r="A160" s="150">
        <v>153</v>
      </c>
      <c r="B160" s="150" t="str">
        <f t="shared" si="32"/>
        <v>EW1</v>
      </c>
      <c r="D160" t="s">
        <v>416</v>
      </c>
      <c r="E160">
        <f t="shared" ca="1" si="33"/>
        <v>0</v>
      </c>
      <c r="F160" t="e">
        <f t="shared" ca="1" si="41"/>
        <v>#REF!</v>
      </c>
      <c r="G160" t="s">
        <v>417</v>
      </c>
      <c r="H160" t="s">
        <v>421</v>
      </c>
      <c r="I160" t="e">
        <f t="shared" ca="1" si="34"/>
        <v>#REF!</v>
      </c>
      <c r="J160" t="e">
        <f t="shared" ca="1" si="35"/>
        <v>#REF!</v>
      </c>
      <c r="K160" t="s">
        <v>431</v>
      </c>
      <c r="L160" s="150" t="s">
        <v>423</v>
      </c>
      <c r="M160" s="150" t="s">
        <v>435</v>
      </c>
      <c r="N160" t="e">
        <f t="shared" ca="1" si="36"/>
        <v>#REF!</v>
      </c>
      <c r="O160" s="150" t="s">
        <v>412</v>
      </c>
      <c r="P160" s="150" t="s">
        <v>428</v>
      </c>
      <c r="Q160" s="150" t="s">
        <v>399</v>
      </c>
      <c r="R160" t="e">
        <f t="shared" ca="1" si="37"/>
        <v>#REF!</v>
      </c>
      <c r="S160" t="s">
        <v>398</v>
      </c>
      <c r="T160" t="s">
        <v>448</v>
      </c>
      <c r="U160" t="str">
        <f t="shared" ca="1" si="29"/>
        <v>Sheets("Master Data").Range("0" &amp; RowNo).Value</v>
      </c>
      <c r="V160" t="e">
        <f t="shared" ca="1" si="38"/>
        <v>#REF!</v>
      </c>
      <c r="X160" t="e">
        <f t="shared" ca="1" si="30"/>
        <v>#REF!</v>
      </c>
      <c r="Z160" t="e">
        <f t="shared" ca="1" si="31"/>
        <v>#REF!</v>
      </c>
      <c r="AB160" t="e">
        <f t="shared" ca="1" si="39"/>
        <v>#REF!</v>
      </c>
      <c r="AD160" t="e">
        <f t="shared" ca="1" si="40"/>
        <v>#REF!</v>
      </c>
    </row>
    <row r="161" spans="1:30" ht="15" x14ac:dyDescent="0.25">
      <c r="A161" s="150">
        <v>154</v>
      </c>
      <c r="B161" s="150" t="str">
        <f t="shared" si="32"/>
        <v>EX1</v>
      </c>
      <c r="D161" t="s">
        <v>416</v>
      </c>
      <c r="E161">
        <f t="shared" ca="1" si="33"/>
        <v>0</v>
      </c>
      <c r="F161" t="e">
        <f t="shared" ca="1" si="41"/>
        <v>#REF!</v>
      </c>
      <c r="G161" t="s">
        <v>417</v>
      </c>
      <c r="H161" t="s">
        <v>421</v>
      </c>
      <c r="I161" t="e">
        <f t="shared" ca="1" si="34"/>
        <v>#REF!</v>
      </c>
      <c r="J161" t="e">
        <f t="shared" ca="1" si="35"/>
        <v>#REF!</v>
      </c>
      <c r="K161" t="s">
        <v>431</v>
      </c>
      <c r="L161" s="150" t="s">
        <v>423</v>
      </c>
      <c r="M161" s="150" t="s">
        <v>435</v>
      </c>
      <c r="N161" t="e">
        <f t="shared" ca="1" si="36"/>
        <v>#REF!</v>
      </c>
      <c r="O161" s="150" t="s">
        <v>412</v>
      </c>
      <c r="P161" s="150" t="s">
        <v>428</v>
      </c>
      <c r="Q161" s="150" t="s">
        <v>399</v>
      </c>
      <c r="R161" t="e">
        <f t="shared" ca="1" si="37"/>
        <v>#REF!</v>
      </c>
      <c r="S161" t="s">
        <v>398</v>
      </c>
      <c r="T161" t="s">
        <v>448</v>
      </c>
      <c r="U161" t="str">
        <f t="shared" ca="1" si="29"/>
        <v>Sheets("Master Data").Range("0" &amp; RowNo).Value</v>
      </c>
      <c r="V161" t="e">
        <f t="shared" ca="1" si="38"/>
        <v>#REF!</v>
      </c>
      <c r="X161" t="e">
        <f t="shared" ca="1" si="30"/>
        <v>#REF!</v>
      </c>
      <c r="Z161" t="e">
        <f t="shared" ca="1" si="31"/>
        <v>#REF!</v>
      </c>
      <c r="AB161" t="e">
        <f t="shared" ca="1" si="39"/>
        <v>#REF!</v>
      </c>
      <c r="AD161" t="e">
        <f t="shared" ca="1" si="40"/>
        <v>#REF!</v>
      </c>
    </row>
    <row r="162" spans="1:30" ht="15" x14ac:dyDescent="0.25">
      <c r="A162" s="150">
        <v>155</v>
      </c>
      <c r="B162" s="150" t="str">
        <f t="shared" si="32"/>
        <v>EY1</v>
      </c>
      <c r="D162" t="s">
        <v>416</v>
      </c>
      <c r="E162">
        <f t="shared" ca="1" si="33"/>
        <v>0</v>
      </c>
      <c r="F162" t="e">
        <f t="shared" ca="1" si="41"/>
        <v>#REF!</v>
      </c>
      <c r="G162" t="s">
        <v>417</v>
      </c>
      <c r="H162" t="s">
        <v>421</v>
      </c>
      <c r="I162" t="e">
        <f t="shared" ca="1" si="34"/>
        <v>#REF!</v>
      </c>
      <c r="J162" t="e">
        <f t="shared" ca="1" si="35"/>
        <v>#REF!</v>
      </c>
      <c r="K162" t="s">
        <v>431</v>
      </c>
      <c r="L162" s="150" t="s">
        <v>423</v>
      </c>
      <c r="M162" s="150" t="s">
        <v>435</v>
      </c>
      <c r="N162" t="e">
        <f t="shared" ca="1" si="36"/>
        <v>#REF!</v>
      </c>
      <c r="O162" s="150" t="s">
        <v>412</v>
      </c>
      <c r="P162" s="150" t="s">
        <v>428</v>
      </c>
      <c r="Q162" s="150" t="s">
        <v>399</v>
      </c>
      <c r="R162" t="e">
        <f t="shared" ca="1" si="37"/>
        <v>#REF!</v>
      </c>
      <c r="S162" t="s">
        <v>398</v>
      </c>
      <c r="T162" t="s">
        <v>448</v>
      </c>
      <c r="U162" t="str">
        <f t="shared" ca="1" si="29"/>
        <v>Sheets("Master Data").Range("0" &amp; RowNo).Value</v>
      </c>
      <c r="V162" t="e">
        <f t="shared" ca="1" si="38"/>
        <v>#REF!</v>
      </c>
      <c r="X162" t="e">
        <f t="shared" ca="1" si="30"/>
        <v>#REF!</v>
      </c>
      <c r="Z162" t="e">
        <f t="shared" ca="1" si="31"/>
        <v>#REF!</v>
      </c>
      <c r="AB162" t="e">
        <f t="shared" ca="1" si="39"/>
        <v>#REF!</v>
      </c>
      <c r="AD162" t="e">
        <f t="shared" ca="1" si="40"/>
        <v>#REF!</v>
      </c>
    </row>
    <row r="163" spans="1:30" ht="15" x14ac:dyDescent="0.25">
      <c r="A163" s="150">
        <v>156</v>
      </c>
      <c r="B163" s="150" t="str">
        <f t="shared" si="32"/>
        <v>EZ1</v>
      </c>
      <c r="D163" t="s">
        <v>416</v>
      </c>
      <c r="E163">
        <f t="shared" ca="1" si="33"/>
        <v>0</v>
      </c>
      <c r="F163" t="e">
        <f t="shared" ca="1" si="41"/>
        <v>#REF!</v>
      </c>
      <c r="G163" t="s">
        <v>417</v>
      </c>
      <c r="H163" t="s">
        <v>421</v>
      </c>
      <c r="I163" t="e">
        <f t="shared" ca="1" si="34"/>
        <v>#REF!</v>
      </c>
      <c r="J163" t="e">
        <f t="shared" ca="1" si="35"/>
        <v>#REF!</v>
      </c>
      <c r="K163" t="s">
        <v>431</v>
      </c>
      <c r="L163" s="150" t="s">
        <v>423</v>
      </c>
      <c r="M163" s="150" t="s">
        <v>435</v>
      </c>
      <c r="N163" t="e">
        <f t="shared" ca="1" si="36"/>
        <v>#REF!</v>
      </c>
      <c r="O163" s="150" t="s">
        <v>412</v>
      </c>
      <c r="P163" s="150" t="s">
        <v>428</v>
      </c>
      <c r="Q163" s="150" t="s">
        <v>399</v>
      </c>
      <c r="R163" t="e">
        <f t="shared" ca="1" si="37"/>
        <v>#REF!</v>
      </c>
      <c r="S163" t="s">
        <v>398</v>
      </c>
      <c r="T163" t="s">
        <v>448</v>
      </c>
      <c r="U163" t="str">
        <f t="shared" ca="1" si="29"/>
        <v>Sheets("Master Data").Range("0" &amp; RowNo).Value</v>
      </c>
      <c r="V163" t="e">
        <f t="shared" ca="1" si="38"/>
        <v>#REF!</v>
      </c>
      <c r="X163" t="e">
        <f t="shared" ca="1" si="30"/>
        <v>#REF!</v>
      </c>
      <c r="Z163" t="e">
        <f t="shared" ca="1" si="31"/>
        <v>#REF!</v>
      </c>
      <c r="AB163" t="e">
        <f t="shared" ca="1" si="39"/>
        <v>#REF!</v>
      </c>
      <c r="AD163" t="e">
        <f t="shared" ca="1" si="40"/>
        <v>#REF!</v>
      </c>
    </row>
    <row r="164" spans="1:30" ht="15" x14ac:dyDescent="0.25">
      <c r="A164" s="150">
        <v>157</v>
      </c>
      <c r="B164" s="150" t="str">
        <f t="shared" si="32"/>
        <v>FA1</v>
      </c>
      <c r="D164" t="s">
        <v>416</v>
      </c>
      <c r="E164">
        <f t="shared" ca="1" si="33"/>
        <v>0</v>
      </c>
      <c r="F164" t="e">
        <f t="shared" ca="1" si="41"/>
        <v>#REF!</v>
      </c>
      <c r="G164" t="s">
        <v>417</v>
      </c>
      <c r="H164" t="s">
        <v>421</v>
      </c>
      <c r="I164" t="e">
        <f t="shared" ca="1" si="34"/>
        <v>#REF!</v>
      </c>
      <c r="J164" t="e">
        <f t="shared" ca="1" si="35"/>
        <v>#REF!</v>
      </c>
      <c r="K164" t="s">
        <v>431</v>
      </c>
      <c r="L164" s="150" t="s">
        <v>423</v>
      </c>
      <c r="M164" s="150" t="s">
        <v>435</v>
      </c>
      <c r="N164" t="e">
        <f t="shared" ca="1" si="36"/>
        <v>#REF!</v>
      </c>
      <c r="O164" s="150" t="s">
        <v>412</v>
      </c>
      <c r="P164" s="150" t="s">
        <v>428</v>
      </c>
      <c r="Q164" s="150" t="s">
        <v>399</v>
      </c>
      <c r="R164" t="e">
        <f t="shared" ca="1" si="37"/>
        <v>#REF!</v>
      </c>
      <c r="S164" t="s">
        <v>398</v>
      </c>
      <c r="T164" t="s">
        <v>448</v>
      </c>
      <c r="U164" t="str">
        <f t="shared" ca="1" si="29"/>
        <v>Sheets("Master Data").Range("0" &amp; RowNo).Value</v>
      </c>
      <c r="V164" t="e">
        <f t="shared" ca="1" si="38"/>
        <v>#REF!</v>
      </c>
      <c r="X164" t="e">
        <f t="shared" ca="1" si="30"/>
        <v>#REF!</v>
      </c>
      <c r="Z164" t="e">
        <f t="shared" ca="1" si="31"/>
        <v>#REF!</v>
      </c>
      <c r="AB164" t="e">
        <f t="shared" ca="1" si="39"/>
        <v>#REF!</v>
      </c>
      <c r="AD164" t="e">
        <f t="shared" ca="1" si="40"/>
        <v>#REF!</v>
      </c>
    </row>
    <row r="165" spans="1:30" ht="15" x14ac:dyDescent="0.25">
      <c r="A165" s="150">
        <v>158</v>
      </c>
      <c r="B165" s="150" t="str">
        <f t="shared" si="32"/>
        <v>FB1</v>
      </c>
      <c r="D165" t="s">
        <v>416</v>
      </c>
      <c r="E165">
        <f t="shared" ca="1" si="33"/>
        <v>0</v>
      </c>
      <c r="F165" t="e">
        <f t="shared" ca="1" si="41"/>
        <v>#REF!</v>
      </c>
      <c r="G165" t="s">
        <v>417</v>
      </c>
      <c r="H165" t="s">
        <v>421</v>
      </c>
      <c r="I165" t="e">
        <f t="shared" ca="1" si="34"/>
        <v>#REF!</v>
      </c>
      <c r="J165" t="e">
        <f t="shared" ca="1" si="35"/>
        <v>#REF!</v>
      </c>
      <c r="K165" t="s">
        <v>431</v>
      </c>
      <c r="L165" s="150" t="s">
        <v>423</v>
      </c>
      <c r="M165" s="150" t="s">
        <v>435</v>
      </c>
      <c r="N165" t="e">
        <f t="shared" ca="1" si="36"/>
        <v>#REF!</v>
      </c>
      <c r="O165" s="150" t="s">
        <v>412</v>
      </c>
      <c r="P165" s="150" t="s">
        <v>428</v>
      </c>
      <c r="Q165" s="150" t="s">
        <v>399</v>
      </c>
      <c r="R165" t="e">
        <f t="shared" ca="1" si="37"/>
        <v>#REF!</v>
      </c>
      <c r="S165" t="s">
        <v>398</v>
      </c>
      <c r="T165" t="s">
        <v>448</v>
      </c>
      <c r="U165" t="str">
        <f t="shared" ca="1" si="29"/>
        <v>Sheets("Master Data").Range("0" &amp; RowNo).Value</v>
      </c>
      <c r="V165" t="e">
        <f t="shared" ca="1" si="38"/>
        <v>#REF!</v>
      </c>
      <c r="X165" t="e">
        <f t="shared" ca="1" si="30"/>
        <v>#REF!</v>
      </c>
      <c r="Z165" t="e">
        <f t="shared" ca="1" si="31"/>
        <v>#REF!</v>
      </c>
      <c r="AB165" t="e">
        <f t="shared" ca="1" si="39"/>
        <v>#REF!</v>
      </c>
      <c r="AD165" t="e">
        <f t="shared" ca="1" si="40"/>
        <v>#REF!</v>
      </c>
    </row>
    <row r="166" spans="1:30" ht="15" x14ac:dyDescent="0.25">
      <c r="A166" s="150">
        <v>159</v>
      </c>
      <c r="B166" s="150" t="str">
        <f t="shared" si="32"/>
        <v>FC1</v>
      </c>
      <c r="D166" t="s">
        <v>416</v>
      </c>
      <c r="E166">
        <f t="shared" ca="1" si="33"/>
        <v>0</v>
      </c>
      <c r="F166" t="e">
        <f t="shared" ca="1" si="41"/>
        <v>#REF!</v>
      </c>
      <c r="G166" t="s">
        <v>417</v>
      </c>
      <c r="H166" t="s">
        <v>421</v>
      </c>
      <c r="I166" t="e">
        <f t="shared" ca="1" si="34"/>
        <v>#REF!</v>
      </c>
      <c r="J166" t="e">
        <f t="shared" ca="1" si="35"/>
        <v>#REF!</v>
      </c>
      <c r="K166" t="s">
        <v>431</v>
      </c>
      <c r="L166" s="150" t="s">
        <v>423</v>
      </c>
      <c r="M166" s="150" t="s">
        <v>435</v>
      </c>
      <c r="N166" t="e">
        <f t="shared" ca="1" si="36"/>
        <v>#REF!</v>
      </c>
      <c r="O166" s="150" t="s">
        <v>412</v>
      </c>
      <c r="P166" s="150" t="s">
        <v>428</v>
      </c>
      <c r="Q166" s="150" t="s">
        <v>399</v>
      </c>
      <c r="R166" t="e">
        <f t="shared" ca="1" si="37"/>
        <v>#REF!</v>
      </c>
      <c r="S166" t="s">
        <v>398</v>
      </c>
      <c r="T166" t="s">
        <v>448</v>
      </c>
      <c r="U166" t="str">
        <f t="shared" ca="1" si="29"/>
        <v>Sheets("Master Data").Range("0" &amp; RowNo).Value</v>
      </c>
      <c r="V166" t="e">
        <f t="shared" ca="1" si="38"/>
        <v>#REF!</v>
      </c>
      <c r="X166" t="e">
        <f t="shared" ca="1" si="30"/>
        <v>#REF!</v>
      </c>
      <c r="Z166" t="e">
        <f t="shared" ca="1" si="31"/>
        <v>#REF!</v>
      </c>
      <c r="AB166" t="e">
        <f t="shared" ca="1" si="39"/>
        <v>#REF!</v>
      </c>
      <c r="AD166" t="e">
        <f t="shared" ca="1" si="40"/>
        <v>#REF!</v>
      </c>
    </row>
    <row r="167" spans="1:30" ht="15" x14ac:dyDescent="0.25">
      <c r="A167" s="150">
        <v>160</v>
      </c>
      <c r="B167" s="150" t="str">
        <f t="shared" si="32"/>
        <v>FD1</v>
      </c>
      <c r="D167" t="s">
        <v>416</v>
      </c>
      <c r="E167">
        <f t="shared" ca="1" si="33"/>
        <v>0</v>
      </c>
      <c r="F167" t="e">
        <f t="shared" ca="1" si="41"/>
        <v>#REF!</v>
      </c>
      <c r="G167" t="s">
        <v>417</v>
      </c>
      <c r="H167" t="s">
        <v>421</v>
      </c>
      <c r="I167" t="e">
        <f t="shared" ca="1" si="34"/>
        <v>#REF!</v>
      </c>
      <c r="J167" t="e">
        <f t="shared" ca="1" si="35"/>
        <v>#REF!</v>
      </c>
      <c r="K167" t="s">
        <v>431</v>
      </c>
      <c r="L167" s="150" t="s">
        <v>423</v>
      </c>
      <c r="M167" s="150" t="s">
        <v>435</v>
      </c>
      <c r="N167" t="e">
        <f t="shared" ca="1" si="36"/>
        <v>#REF!</v>
      </c>
      <c r="O167" s="150" t="s">
        <v>412</v>
      </c>
      <c r="P167" s="150" t="s">
        <v>428</v>
      </c>
      <c r="Q167" s="150" t="s">
        <v>399</v>
      </c>
      <c r="R167" t="e">
        <f t="shared" ca="1" si="37"/>
        <v>#REF!</v>
      </c>
      <c r="S167" t="s">
        <v>398</v>
      </c>
      <c r="T167" t="s">
        <v>448</v>
      </c>
      <c r="U167" t="str">
        <f t="shared" ca="1" si="29"/>
        <v>Sheets("Master Data").Range("0" &amp; RowNo).Value</v>
      </c>
      <c r="V167" t="e">
        <f t="shared" ca="1" si="38"/>
        <v>#REF!</v>
      </c>
      <c r="X167" t="e">
        <f t="shared" ca="1" si="30"/>
        <v>#REF!</v>
      </c>
      <c r="Z167" t="e">
        <f t="shared" ca="1" si="31"/>
        <v>#REF!</v>
      </c>
      <c r="AB167" t="e">
        <f t="shared" ca="1" si="39"/>
        <v>#REF!</v>
      </c>
      <c r="AD167" t="e">
        <f t="shared" ca="1" si="40"/>
        <v>#REF!</v>
      </c>
    </row>
    <row r="168" spans="1:30" ht="15" x14ac:dyDescent="0.25">
      <c r="A168" s="150">
        <v>161</v>
      </c>
      <c r="B168" s="150" t="str">
        <f t="shared" si="32"/>
        <v>FE1</v>
      </c>
      <c r="D168" t="s">
        <v>416</v>
      </c>
      <c r="E168">
        <f t="shared" ca="1" si="33"/>
        <v>0</v>
      </c>
      <c r="F168" t="e">
        <f t="shared" ca="1" si="41"/>
        <v>#REF!</v>
      </c>
      <c r="G168" t="s">
        <v>417</v>
      </c>
      <c r="H168" t="s">
        <v>421</v>
      </c>
      <c r="I168" t="e">
        <f t="shared" ca="1" si="34"/>
        <v>#REF!</v>
      </c>
      <c r="J168" t="e">
        <f t="shared" ca="1" si="35"/>
        <v>#REF!</v>
      </c>
      <c r="K168" t="s">
        <v>431</v>
      </c>
      <c r="L168" s="150" t="s">
        <v>423</v>
      </c>
      <c r="M168" s="150" t="s">
        <v>435</v>
      </c>
      <c r="N168" t="e">
        <f t="shared" ca="1" si="36"/>
        <v>#REF!</v>
      </c>
      <c r="O168" s="150" t="s">
        <v>412</v>
      </c>
      <c r="P168" s="150" t="s">
        <v>428</v>
      </c>
      <c r="Q168" s="150" t="s">
        <v>399</v>
      </c>
      <c r="R168" t="e">
        <f t="shared" ca="1" si="37"/>
        <v>#REF!</v>
      </c>
      <c r="S168" t="s">
        <v>398</v>
      </c>
      <c r="T168" t="s">
        <v>448</v>
      </c>
      <c r="U168" t="str">
        <f t="shared" ca="1" si="29"/>
        <v>Sheets("Master Data").Range("0" &amp; RowNo).Value</v>
      </c>
      <c r="V168" t="e">
        <f t="shared" ca="1" si="38"/>
        <v>#REF!</v>
      </c>
      <c r="X168" t="e">
        <f t="shared" ca="1" si="30"/>
        <v>#REF!</v>
      </c>
      <c r="Z168" t="e">
        <f t="shared" ca="1" si="31"/>
        <v>#REF!</v>
      </c>
      <c r="AB168" t="e">
        <f t="shared" ca="1" si="39"/>
        <v>#REF!</v>
      </c>
      <c r="AD168" t="e">
        <f t="shared" ca="1" si="40"/>
        <v>#REF!</v>
      </c>
    </row>
    <row r="169" spans="1:30" ht="15" x14ac:dyDescent="0.25">
      <c r="A169" s="150">
        <v>162</v>
      </c>
      <c r="B169" s="150" t="str">
        <f t="shared" si="32"/>
        <v>FF1</v>
      </c>
      <c r="D169" t="s">
        <v>416</v>
      </c>
      <c r="E169">
        <f t="shared" ca="1" si="33"/>
        <v>0</v>
      </c>
      <c r="F169" t="e">
        <f t="shared" ca="1" si="41"/>
        <v>#REF!</v>
      </c>
      <c r="G169" t="s">
        <v>417</v>
      </c>
      <c r="H169" t="s">
        <v>421</v>
      </c>
      <c r="I169" t="e">
        <f t="shared" ca="1" si="34"/>
        <v>#REF!</v>
      </c>
      <c r="J169" t="e">
        <f t="shared" ca="1" si="35"/>
        <v>#REF!</v>
      </c>
      <c r="K169" t="s">
        <v>431</v>
      </c>
      <c r="L169" s="150" t="s">
        <v>423</v>
      </c>
      <c r="M169" s="150" t="s">
        <v>435</v>
      </c>
      <c r="N169" t="e">
        <f t="shared" ca="1" si="36"/>
        <v>#REF!</v>
      </c>
      <c r="O169" s="150" t="s">
        <v>412</v>
      </c>
      <c r="P169" s="150" t="s">
        <v>428</v>
      </c>
      <c r="Q169" s="150" t="s">
        <v>399</v>
      </c>
      <c r="R169" t="e">
        <f t="shared" ca="1" si="37"/>
        <v>#REF!</v>
      </c>
      <c r="S169" t="s">
        <v>398</v>
      </c>
      <c r="T169" t="s">
        <v>448</v>
      </c>
      <c r="U169" t="str">
        <f t="shared" ca="1" si="29"/>
        <v>Sheets("Master Data").Range("0" &amp; RowNo).Value</v>
      </c>
      <c r="V169" t="e">
        <f t="shared" ca="1" si="38"/>
        <v>#REF!</v>
      </c>
      <c r="X169" t="e">
        <f t="shared" ca="1" si="30"/>
        <v>#REF!</v>
      </c>
      <c r="Z169" t="e">
        <f t="shared" ca="1" si="31"/>
        <v>#REF!</v>
      </c>
      <c r="AB169" t="e">
        <f t="shared" ca="1" si="39"/>
        <v>#REF!</v>
      </c>
      <c r="AD169" t="e">
        <f t="shared" ca="1" si="40"/>
        <v>#REF!</v>
      </c>
    </row>
    <row r="170" spans="1:30" ht="15" x14ac:dyDescent="0.25">
      <c r="A170" s="150">
        <v>163</v>
      </c>
      <c r="B170" s="150" t="str">
        <f t="shared" si="32"/>
        <v>FG1</v>
      </c>
      <c r="D170" t="s">
        <v>416</v>
      </c>
      <c r="E170">
        <f t="shared" ca="1" si="33"/>
        <v>0</v>
      </c>
      <c r="F170" t="e">
        <f t="shared" ca="1" si="41"/>
        <v>#REF!</v>
      </c>
      <c r="G170" t="s">
        <v>417</v>
      </c>
      <c r="H170" t="s">
        <v>421</v>
      </c>
      <c r="I170" t="e">
        <f t="shared" ca="1" si="34"/>
        <v>#REF!</v>
      </c>
      <c r="J170" t="e">
        <f t="shared" ca="1" si="35"/>
        <v>#REF!</v>
      </c>
      <c r="K170" t="s">
        <v>431</v>
      </c>
      <c r="L170" s="150" t="s">
        <v>423</v>
      </c>
      <c r="M170" s="150" t="s">
        <v>435</v>
      </c>
      <c r="N170" t="e">
        <f t="shared" ca="1" si="36"/>
        <v>#REF!</v>
      </c>
      <c r="O170" s="150" t="s">
        <v>412</v>
      </c>
      <c r="P170" s="150" t="s">
        <v>428</v>
      </c>
      <c r="Q170" s="150" t="s">
        <v>399</v>
      </c>
      <c r="R170" t="e">
        <f t="shared" ca="1" si="37"/>
        <v>#REF!</v>
      </c>
      <c r="S170" t="s">
        <v>398</v>
      </c>
      <c r="T170" t="s">
        <v>448</v>
      </c>
      <c r="U170" t="str">
        <f t="shared" ca="1" si="29"/>
        <v>Sheets("Master Data").Range("0" &amp; RowNo).Value</v>
      </c>
      <c r="V170" t="e">
        <f t="shared" ca="1" si="38"/>
        <v>#REF!</v>
      </c>
      <c r="X170" t="e">
        <f t="shared" ca="1" si="30"/>
        <v>#REF!</v>
      </c>
      <c r="Z170" t="e">
        <f t="shared" ca="1" si="31"/>
        <v>#REF!</v>
      </c>
      <c r="AB170" t="e">
        <f t="shared" ca="1" si="39"/>
        <v>#REF!</v>
      </c>
      <c r="AD170" t="e">
        <f t="shared" ca="1" si="40"/>
        <v>#REF!</v>
      </c>
    </row>
    <row r="171" spans="1:30" ht="15" x14ac:dyDescent="0.25">
      <c r="A171" s="150">
        <v>164</v>
      </c>
      <c r="B171" s="150" t="str">
        <f t="shared" si="32"/>
        <v>FH1</v>
      </c>
      <c r="D171" t="s">
        <v>416</v>
      </c>
      <c r="E171">
        <f t="shared" ca="1" si="33"/>
        <v>0</v>
      </c>
      <c r="F171" t="e">
        <f t="shared" ca="1" si="41"/>
        <v>#REF!</v>
      </c>
      <c r="G171" t="s">
        <v>417</v>
      </c>
      <c r="H171" t="s">
        <v>421</v>
      </c>
      <c r="I171" t="e">
        <f t="shared" ca="1" si="34"/>
        <v>#REF!</v>
      </c>
      <c r="J171" t="e">
        <f t="shared" ca="1" si="35"/>
        <v>#REF!</v>
      </c>
      <c r="K171" t="s">
        <v>431</v>
      </c>
      <c r="L171" s="150" t="s">
        <v>423</v>
      </c>
      <c r="M171" s="150" t="s">
        <v>435</v>
      </c>
      <c r="N171" t="e">
        <f t="shared" ca="1" si="36"/>
        <v>#REF!</v>
      </c>
      <c r="O171" s="150" t="s">
        <v>412</v>
      </c>
      <c r="P171" s="150" t="s">
        <v>428</v>
      </c>
      <c r="Q171" s="150" t="s">
        <v>399</v>
      </c>
      <c r="R171" t="e">
        <f t="shared" ca="1" si="37"/>
        <v>#REF!</v>
      </c>
      <c r="S171" t="s">
        <v>398</v>
      </c>
      <c r="T171" t="s">
        <v>448</v>
      </c>
      <c r="U171" t="str">
        <f t="shared" ca="1" si="29"/>
        <v>Sheets("Master Data").Range("0" &amp; RowNo).Value</v>
      </c>
      <c r="V171" t="e">
        <f t="shared" ca="1" si="38"/>
        <v>#REF!</v>
      </c>
      <c r="X171" t="e">
        <f t="shared" ca="1" si="30"/>
        <v>#REF!</v>
      </c>
      <c r="Z171" t="e">
        <f t="shared" ca="1" si="31"/>
        <v>#REF!</v>
      </c>
      <c r="AB171" t="e">
        <f t="shared" ca="1" si="39"/>
        <v>#REF!</v>
      </c>
      <c r="AD171" t="e">
        <f t="shared" ca="1" si="40"/>
        <v>#REF!</v>
      </c>
    </row>
    <row r="172" spans="1:30" ht="15" x14ac:dyDescent="0.25">
      <c r="A172" s="150">
        <v>165</v>
      </c>
      <c r="B172" s="150" t="str">
        <f t="shared" si="32"/>
        <v>FI1</v>
      </c>
      <c r="D172" t="s">
        <v>416</v>
      </c>
      <c r="E172">
        <f t="shared" ca="1" si="33"/>
        <v>0</v>
      </c>
      <c r="F172" t="e">
        <f t="shared" ca="1" si="41"/>
        <v>#REF!</v>
      </c>
      <c r="G172" t="s">
        <v>417</v>
      </c>
      <c r="H172" t="s">
        <v>421</v>
      </c>
      <c r="I172" t="e">
        <f t="shared" ca="1" si="34"/>
        <v>#REF!</v>
      </c>
      <c r="J172" t="e">
        <f t="shared" ca="1" si="35"/>
        <v>#REF!</v>
      </c>
      <c r="K172" t="s">
        <v>431</v>
      </c>
      <c r="L172" s="150" t="s">
        <v>423</v>
      </c>
      <c r="M172" s="150" t="s">
        <v>435</v>
      </c>
      <c r="N172" t="e">
        <f t="shared" ca="1" si="36"/>
        <v>#REF!</v>
      </c>
      <c r="O172" s="150" t="s">
        <v>412</v>
      </c>
      <c r="P172" s="150" t="s">
        <v>428</v>
      </c>
      <c r="Q172" s="150" t="s">
        <v>399</v>
      </c>
      <c r="R172" t="e">
        <f t="shared" ca="1" si="37"/>
        <v>#REF!</v>
      </c>
      <c r="S172" t="s">
        <v>398</v>
      </c>
      <c r="T172" t="s">
        <v>448</v>
      </c>
      <c r="U172" t="str">
        <f t="shared" ca="1" si="29"/>
        <v>Sheets("Master Data").Range("0" &amp; RowNo).Value</v>
      </c>
      <c r="V172" t="e">
        <f t="shared" ca="1" si="38"/>
        <v>#REF!</v>
      </c>
      <c r="X172" t="e">
        <f t="shared" ca="1" si="30"/>
        <v>#REF!</v>
      </c>
      <c r="Z172" t="e">
        <f t="shared" ca="1" si="31"/>
        <v>#REF!</v>
      </c>
      <c r="AB172" t="e">
        <f t="shared" ca="1" si="39"/>
        <v>#REF!</v>
      </c>
      <c r="AD172" t="e">
        <f t="shared" ca="1" si="40"/>
        <v>#REF!</v>
      </c>
    </row>
    <row r="173" spans="1:30" ht="15" x14ac:dyDescent="0.25">
      <c r="A173" s="150">
        <v>166</v>
      </c>
      <c r="B173" s="150" t="str">
        <f t="shared" si="32"/>
        <v>FJ1</v>
      </c>
      <c r="D173" t="s">
        <v>416</v>
      </c>
      <c r="E173">
        <f t="shared" ca="1" si="33"/>
        <v>0</v>
      </c>
      <c r="F173" t="e">
        <f t="shared" ca="1" si="41"/>
        <v>#REF!</v>
      </c>
      <c r="G173" t="s">
        <v>417</v>
      </c>
      <c r="H173" t="s">
        <v>421</v>
      </c>
      <c r="I173" t="e">
        <f t="shared" ca="1" si="34"/>
        <v>#REF!</v>
      </c>
      <c r="J173" t="e">
        <f t="shared" ca="1" si="35"/>
        <v>#REF!</v>
      </c>
      <c r="K173" t="s">
        <v>431</v>
      </c>
      <c r="L173" s="150" t="s">
        <v>423</v>
      </c>
      <c r="M173" s="150" t="s">
        <v>435</v>
      </c>
      <c r="N173" t="e">
        <f t="shared" ca="1" si="36"/>
        <v>#REF!</v>
      </c>
      <c r="O173" s="150" t="s">
        <v>412</v>
      </c>
      <c r="P173" s="150" t="s">
        <v>428</v>
      </c>
      <c r="Q173" s="150" t="s">
        <v>399</v>
      </c>
      <c r="R173" t="e">
        <f t="shared" ca="1" si="37"/>
        <v>#REF!</v>
      </c>
      <c r="S173" t="s">
        <v>398</v>
      </c>
      <c r="T173" t="s">
        <v>448</v>
      </c>
      <c r="U173" t="str">
        <f t="shared" ca="1" si="29"/>
        <v>Sheets("Master Data").Range("0" &amp; RowNo).Value</v>
      </c>
      <c r="V173" t="e">
        <f t="shared" ca="1" si="38"/>
        <v>#REF!</v>
      </c>
      <c r="X173" t="e">
        <f t="shared" ca="1" si="30"/>
        <v>#REF!</v>
      </c>
      <c r="Z173" t="e">
        <f t="shared" ca="1" si="31"/>
        <v>#REF!</v>
      </c>
      <c r="AB173" t="e">
        <f t="shared" ca="1" si="39"/>
        <v>#REF!</v>
      </c>
      <c r="AD173" t="e">
        <f t="shared" ca="1" si="40"/>
        <v>#REF!</v>
      </c>
    </row>
    <row r="174" spans="1:30" ht="15" x14ac:dyDescent="0.25">
      <c r="A174" s="150">
        <v>167</v>
      </c>
      <c r="B174" s="150" t="str">
        <f t="shared" si="32"/>
        <v>FK1</v>
      </c>
      <c r="D174" t="s">
        <v>416</v>
      </c>
      <c r="E174">
        <f t="shared" ca="1" si="33"/>
        <v>0</v>
      </c>
      <c r="F174" t="e">
        <f t="shared" ca="1" si="41"/>
        <v>#REF!</v>
      </c>
      <c r="G174" t="s">
        <v>417</v>
      </c>
      <c r="H174" t="s">
        <v>421</v>
      </c>
      <c r="I174" t="e">
        <f t="shared" ca="1" si="34"/>
        <v>#REF!</v>
      </c>
      <c r="J174" t="e">
        <f t="shared" ca="1" si="35"/>
        <v>#REF!</v>
      </c>
      <c r="K174" t="s">
        <v>431</v>
      </c>
      <c r="L174" s="150" t="s">
        <v>423</v>
      </c>
      <c r="M174" s="150" t="s">
        <v>435</v>
      </c>
      <c r="N174" t="e">
        <f t="shared" ca="1" si="36"/>
        <v>#REF!</v>
      </c>
      <c r="O174" s="150" t="s">
        <v>412</v>
      </c>
      <c r="P174" s="150" t="s">
        <v>428</v>
      </c>
      <c r="Q174" s="150" t="s">
        <v>399</v>
      </c>
      <c r="R174" t="e">
        <f t="shared" ca="1" si="37"/>
        <v>#REF!</v>
      </c>
      <c r="S174" t="s">
        <v>398</v>
      </c>
      <c r="T174" t="s">
        <v>448</v>
      </c>
      <c r="U174" t="str">
        <f t="shared" ca="1" si="29"/>
        <v>Sheets("Master Data").Range("0" &amp; RowNo).Value</v>
      </c>
      <c r="V174" t="e">
        <f t="shared" ca="1" si="38"/>
        <v>#REF!</v>
      </c>
      <c r="X174" t="e">
        <f t="shared" ca="1" si="30"/>
        <v>#REF!</v>
      </c>
      <c r="Z174" t="e">
        <f t="shared" ca="1" si="31"/>
        <v>#REF!</v>
      </c>
      <c r="AB174" t="e">
        <f t="shared" ca="1" si="39"/>
        <v>#REF!</v>
      </c>
      <c r="AD174" t="e">
        <f t="shared" ca="1" si="40"/>
        <v>#REF!</v>
      </c>
    </row>
    <row r="175" spans="1:30" ht="15" x14ac:dyDescent="0.25">
      <c r="A175" s="150">
        <v>168</v>
      </c>
      <c r="B175" s="150" t="str">
        <f t="shared" si="32"/>
        <v>FL1</v>
      </c>
      <c r="D175" t="s">
        <v>416</v>
      </c>
      <c r="E175">
        <f t="shared" ca="1" si="33"/>
        <v>0</v>
      </c>
      <c r="F175" t="e">
        <f t="shared" ca="1" si="41"/>
        <v>#REF!</v>
      </c>
      <c r="G175" t="s">
        <v>417</v>
      </c>
      <c r="H175" t="s">
        <v>421</v>
      </c>
      <c r="I175" t="e">
        <f t="shared" ca="1" si="34"/>
        <v>#REF!</v>
      </c>
      <c r="J175" t="e">
        <f t="shared" ca="1" si="35"/>
        <v>#REF!</v>
      </c>
      <c r="K175" t="s">
        <v>431</v>
      </c>
      <c r="L175" s="150" t="s">
        <v>423</v>
      </c>
      <c r="M175" s="150" t="s">
        <v>435</v>
      </c>
      <c r="N175" t="e">
        <f t="shared" ca="1" si="36"/>
        <v>#REF!</v>
      </c>
      <c r="O175" s="150" t="s">
        <v>412</v>
      </c>
      <c r="P175" s="150" t="s">
        <v>428</v>
      </c>
      <c r="Q175" s="150" t="s">
        <v>399</v>
      </c>
      <c r="R175" t="e">
        <f t="shared" ca="1" si="37"/>
        <v>#REF!</v>
      </c>
      <c r="S175" t="s">
        <v>398</v>
      </c>
      <c r="T175" t="s">
        <v>448</v>
      </c>
      <c r="U175" t="str">
        <f t="shared" ca="1" si="29"/>
        <v>Sheets("Master Data").Range("0" &amp; RowNo).Value</v>
      </c>
      <c r="V175" t="e">
        <f t="shared" ca="1" si="38"/>
        <v>#REF!</v>
      </c>
      <c r="X175" t="e">
        <f t="shared" ca="1" si="30"/>
        <v>#REF!</v>
      </c>
      <c r="Z175" t="e">
        <f t="shared" ca="1" si="31"/>
        <v>#REF!</v>
      </c>
      <c r="AB175" t="e">
        <f t="shared" ca="1" si="39"/>
        <v>#REF!</v>
      </c>
      <c r="AD175" t="e">
        <f t="shared" ca="1" si="40"/>
        <v>#REF!</v>
      </c>
    </row>
    <row r="176" spans="1:30" ht="15" x14ac:dyDescent="0.25">
      <c r="A176" s="150">
        <v>169</v>
      </c>
      <c r="B176" s="150" t="str">
        <f t="shared" si="32"/>
        <v>FM1</v>
      </c>
      <c r="D176" t="s">
        <v>416</v>
      </c>
      <c r="E176">
        <f t="shared" ca="1" si="33"/>
        <v>0</v>
      </c>
      <c r="F176" t="e">
        <f t="shared" ca="1" si="41"/>
        <v>#REF!</v>
      </c>
      <c r="G176" t="s">
        <v>417</v>
      </c>
      <c r="H176" t="s">
        <v>421</v>
      </c>
      <c r="I176" t="e">
        <f t="shared" ca="1" si="34"/>
        <v>#REF!</v>
      </c>
      <c r="J176" t="e">
        <f t="shared" ca="1" si="35"/>
        <v>#REF!</v>
      </c>
      <c r="K176" t="s">
        <v>431</v>
      </c>
      <c r="L176" s="150" t="s">
        <v>423</v>
      </c>
      <c r="M176" s="150" t="s">
        <v>435</v>
      </c>
      <c r="N176" t="e">
        <f t="shared" ca="1" si="36"/>
        <v>#REF!</v>
      </c>
      <c r="O176" s="150" t="s">
        <v>412</v>
      </c>
      <c r="P176" s="150" t="s">
        <v>428</v>
      </c>
      <c r="Q176" s="150" t="s">
        <v>399</v>
      </c>
      <c r="R176" t="e">
        <f t="shared" ca="1" si="37"/>
        <v>#REF!</v>
      </c>
      <c r="S176" t="s">
        <v>398</v>
      </c>
      <c r="T176" t="s">
        <v>448</v>
      </c>
      <c r="U176" t="str">
        <f t="shared" ca="1" si="29"/>
        <v>Sheets("Master Data").Range("0" &amp; RowNo).Value</v>
      </c>
      <c r="V176" t="e">
        <f t="shared" ca="1" si="38"/>
        <v>#REF!</v>
      </c>
      <c r="X176" t="e">
        <f t="shared" ca="1" si="30"/>
        <v>#REF!</v>
      </c>
      <c r="Z176" t="e">
        <f t="shared" ca="1" si="31"/>
        <v>#REF!</v>
      </c>
      <c r="AB176" t="e">
        <f t="shared" ca="1" si="39"/>
        <v>#REF!</v>
      </c>
      <c r="AD176" t="e">
        <f t="shared" ca="1" si="40"/>
        <v>#REF!</v>
      </c>
    </row>
    <row r="177" spans="1:30" ht="15" x14ac:dyDescent="0.25">
      <c r="A177" s="150">
        <v>170</v>
      </c>
      <c r="B177" s="150" t="str">
        <f t="shared" si="32"/>
        <v>FN1</v>
      </c>
      <c r="D177" t="s">
        <v>416</v>
      </c>
      <c r="E177">
        <f t="shared" ca="1" si="33"/>
        <v>0</v>
      </c>
      <c r="F177" t="e">
        <f t="shared" ca="1" si="41"/>
        <v>#REF!</v>
      </c>
      <c r="G177" t="s">
        <v>417</v>
      </c>
      <c r="H177" t="s">
        <v>421</v>
      </c>
      <c r="I177" t="e">
        <f t="shared" ca="1" si="34"/>
        <v>#REF!</v>
      </c>
      <c r="J177" t="e">
        <f t="shared" ca="1" si="35"/>
        <v>#REF!</v>
      </c>
      <c r="K177" t="s">
        <v>431</v>
      </c>
      <c r="L177" s="150" t="s">
        <v>423</v>
      </c>
      <c r="M177" s="150" t="s">
        <v>435</v>
      </c>
      <c r="N177" t="e">
        <f t="shared" ca="1" si="36"/>
        <v>#REF!</v>
      </c>
      <c r="O177" s="150" t="s">
        <v>412</v>
      </c>
      <c r="P177" s="150" t="s">
        <v>428</v>
      </c>
      <c r="Q177" s="150" t="s">
        <v>399</v>
      </c>
      <c r="R177" t="e">
        <f t="shared" ca="1" si="37"/>
        <v>#REF!</v>
      </c>
      <c r="S177" t="s">
        <v>398</v>
      </c>
      <c r="T177" t="s">
        <v>448</v>
      </c>
      <c r="U177" t="str">
        <f t="shared" ca="1" si="29"/>
        <v>Sheets("Master Data").Range("0" &amp; RowNo).Value</v>
      </c>
      <c r="V177" t="e">
        <f t="shared" ca="1" si="38"/>
        <v>#REF!</v>
      </c>
      <c r="X177" t="e">
        <f t="shared" ca="1" si="30"/>
        <v>#REF!</v>
      </c>
      <c r="Z177" t="e">
        <f t="shared" ca="1" si="31"/>
        <v>#REF!</v>
      </c>
      <c r="AB177" t="e">
        <f t="shared" ca="1" si="39"/>
        <v>#REF!</v>
      </c>
      <c r="AD177" t="e">
        <f t="shared" ca="1" si="40"/>
        <v>#REF!</v>
      </c>
    </row>
    <row r="178" spans="1:30" ht="15" x14ac:dyDescent="0.25">
      <c r="A178" s="150">
        <v>171</v>
      </c>
      <c r="B178" s="150" t="str">
        <f t="shared" si="32"/>
        <v>FO1</v>
      </c>
      <c r="D178" t="s">
        <v>416</v>
      </c>
      <c r="E178">
        <f t="shared" ca="1" si="33"/>
        <v>0</v>
      </c>
      <c r="F178" t="e">
        <f t="shared" ca="1" si="41"/>
        <v>#REF!</v>
      </c>
      <c r="G178" t="s">
        <v>417</v>
      </c>
      <c r="H178" t="s">
        <v>421</v>
      </c>
      <c r="I178" t="e">
        <f t="shared" ca="1" si="34"/>
        <v>#REF!</v>
      </c>
      <c r="J178" t="e">
        <f t="shared" ca="1" si="35"/>
        <v>#REF!</v>
      </c>
      <c r="K178" t="s">
        <v>431</v>
      </c>
      <c r="L178" s="150" t="s">
        <v>423</v>
      </c>
      <c r="M178" s="150" t="s">
        <v>435</v>
      </c>
      <c r="N178" t="e">
        <f t="shared" ca="1" si="36"/>
        <v>#REF!</v>
      </c>
      <c r="O178" s="150" t="s">
        <v>412</v>
      </c>
      <c r="P178" s="150" t="s">
        <v>428</v>
      </c>
      <c r="Q178" s="150" t="s">
        <v>399</v>
      </c>
      <c r="R178" t="e">
        <f t="shared" ca="1" si="37"/>
        <v>#REF!</v>
      </c>
      <c r="S178" t="s">
        <v>398</v>
      </c>
      <c r="T178" t="s">
        <v>448</v>
      </c>
      <c r="U178" t="str">
        <f t="shared" ca="1" si="29"/>
        <v>Sheets("Master Data").Range("0" &amp; RowNo).Value</v>
      </c>
      <c r="V178" t="e">
        <f t="shared" ca="1" si="38"/>
        <v>#REF!</v>
      </c>
      <c r="X178" t="e">
        <f t="shared" ca="1" si="30"/>
        <v>#REF!</v>
      </c>
      <c r="Z178" t="e">
        <f t="shared" ca="1" si="31"/>
        <v>#REF!</v>
      </c>
      <c r="AB178" t="e">
        <f t="shared" ca="1" si="39"/>
        <v>#REF!</v>
      </c>
      <c r="AD178" t="e">
        <f t="shared" ca="1" si="40"/>
        <v>#REF!</v>
      </c>
    </row>
    <row r="179" spans="1:30" ht="15" x14ac:dyDescent="0.25">
      <c r="A179" s="150">
        <v>172</v>
      </c>
      <c r="B179" s="150" t="str">
        <f t="shared" si="32"/>
        <v>FP1</v>
      </c>
      <c r="D179" t="s">
        <v>416</v>
      </c>
      <c r="E179">
        <f t="shared" ca="1" si="33"/>
        <v>0</v>
      </c>
      <c r="F179" t="e">
        <f t="shared" ca="1" si="41"/>
        <v>#REF!</v>
      </c>
      <c r="G179" t="s">
        <v>417</v>
      </c>
      <c r="H179" t="s">
        <v>421</v>
      </c>
      <c r="I179" t="e">
        <f t="shared" ca="1" si="34"/>
        <v>#REF!</v>
      </c>
      <c r="J179" t="e">
        <f t="shared" ca="1" si="35"/>
        <v>#REF!</v>
      </c>
      <c r="K179" t="s">
        <v>431</v>
      </c>
      <c r="L179" s="150" t="s">
        <v>423</v>
      </c>
      <c r="M179" s="150" t="s">
        <v>435</v>
      </c>
      <c r="N179" t="e">
        <f t="shared" ca="1" si="36"/>
        <v>#REF!</v>
      </c>
      <c r="O179" s="150" t="s">
        <v>412</v>
      </c>
      <c r="P179" s="150" t="s">
        <v>428</v>
      </c>
      <c r="Q179" s="150" t="s">
        <v>399</v>
      </c>
      <c r="R179" t="e">
        <f t="shared" ca="1" si="37"/>
        <v>#REF!</v>
      </c>
      <c r="S179" t="s">
        <v>398</v>
      </c>
      <c r="T179" t="s">
        <v>448</v>
      </c>
      <c r="U179" t="str">
        <f t="shared" ca="1" si="29"/>
        <v>Sheets("Master Data").Range("0" &amp; RowNo).Value</v>
      </c>
      <c r="V179" t="e">
        <f t="shared" ca="1" si="38"/>
        <v>#REF!</v>
      </c>
      <c r="X179" t="e">
        <f t="shared" ca="1" si="30"/>
        <v>#REF!</v>
      </c>
      <c r="Z179" t="e">
        <f t="shared" ca="1" si="31"/>
        <v>#REF!</v>
      </c>
      <c r="AB179" t="e">
        <f t="shared" ca="1" si="39"/>
        <v>#REF!</v>
      </c>
      <c r="AD179" t="e">
        <f t="shared" ca="1" si="40"/>
        <v>#REF!</v>
      </c>
    </row>
    <row r="180" spans="1:30" ht="15" x14ac:dyDescent="0.25">
      <c r="A180" s="150">
        <v>173</v>
      </c>
      <c r="B180" s="150" t="str">
        <f t="shared" si="32"/>
        <v>FQ1</v>
      </c>
      <c r="D180" t="s">
        <v>416</v>
      </c>
      <c r="E180">
        <f t="shared" ca="1" si="33"/>
        <v>0</v>
      </c>
      <c r="F180" t="e">
        <f t="shared" ca="1" si="41"/>
        <v>#REF!</v>
      </c>
      <c r="G180" t="s">
        <v>417</v>
      </c>
      <c r="H180" t="s">
        <v>421</v>
      </c>
      <c r="I180" t="e">
        <f t="shared" ca="1" si="34"/>
        <v>#REF!</v>
      </c>
      <c r="J180" t="e">
        <f t="shared" ca="1" si="35"/>
        <v>#REF!</v>
      </c>
      <c r="K180" t="s">
        <v>431</v>
      </c>
      <c r="L180" s="150" t="s">
        <v>423</v>
      </c>
      <c r="M180" s="150" t="s">
        <v>435</v>
      </c>
      <c r="N180" t="e">
        <f t="shared" ca="1" si="36"/>
        <v>#REF!</v>
      </c>
      <c r="O180" s="150" t="s">
        <v>412</v>
      </c>
      <c r="P180" s="150" t="s">
        <v>428</v>
      </c>
      <c r="Q180" s="150" t="s">
        <v>399</v>
      </c>
      <c r="R180" t="e">
        <f t="shared" ca="1" si="37"/>
        <v>#REF!</v>
      </c>
      <c r="S180" t="s">
        <v>398</v>
      </c>
      <c r="T180" t="s">
        <v>448</v>
      </c>
      <c r="U180" t="str">
        <f t="shared" ca="1" si="29"/>
        <v>Sheets("Master Data").Range("0" &amp; RowNo).Value</v>
      </c>
      <c r="V180" t="e">
        <f t="shared" ca="1" si="38"/>
        <v>#REF!</v>
      </c>
      <c r="X180" t="e">
        <f t="shared" ca="1" si="30"/>
        <v>#REF!</v>
      </c>
      <c r="Z180" t="e">
        <f t="shared" ca="1" si="31"/>
        <v>#REF!</v>
      </c>
      <c r="AB180" t="e">
        <f t="shared" ca="1" si="39"/>
        <v>#REF!</v>
      </c>
      <c r="AD180" t="e">
        <f t="shared" ca="1" si="40"/>
        <v>#REF!</v>
      </c>
    </row>
    <row r="181" spans="1:30" ht="15" x14ac:dyDescent="0.25">
      <c r="A181" s="150">
        <v>174</v>
      </c>
      <c r="B181" s="150" t="str">
        <f t="shared" si="32"/>
        <v>FR1</v>
      </c>
      <c r="D181" t="s">
        <v>416</v>
      </c>
      <c r="E181">
        <f t="shared" ca="1" si="33"/>
        <v>0</v>
      </c>
      <c r="F181" t="e">
        <f t="shared" ca="1" si="41"/>
        <v>#REF!</v>
      </c>
      <c r="G181" t="s">
        <v>417</v>
      </c>
      <c r="H181" t="s">
        <v>421</v>
      </c>
      <c r="I181" t="e">
        <f t="shared" ca="1" si="34"/>
        <v>#REF!</v>
      </c>
      <c r="J181" t="e">
        <f t="shared" ca="1" si="35"/>
        <v>#REF!</v>
      </c>
      <c r="K181" t="s">
        <v>431</v>
      </c>
      <c r="L181" s="150" t="s">
        <v>423</v>
      </c>
      <c r="M181" s="150" t="s">
        <v>435</v>
      </c>
      <c r="N181" t="e">
        <f t="shared" ca="1" si="36"/>
        <v>#REF!</v>
      </c>
      <c r="O181" s="150" t="s">
        <v>412</v>
      </c>
      <c r="P181" s="150" t="s">
        <v>428</v>
      </c>
      <c r="Q181" s="150" t="s">
        <v>399</v>
      </c>
      <c r="R181" t="e">
        <f t="shared" ca="1" si="37"/>
        <v>#REF!</v>
      </c>
      <c r="S181" t="s">
        <v>398</v>
      </c>
      <c r="T181" t="s">
        <v>448</v>
      </c>
      <c r="U181" t="str">
        <f t="shared" ca="1" si="29"/>
        <v>Sheets("Master Data").Range("0" &amp; RowNo).Value</v>
      </c>
      <c r="V181" t="e">
        <f t="shared" ca="1" si="38"/>
        <v>#REF!</v>
      </c>
      <c r="X181" t="e">
        <f t="shared" ca="1" si="30"/>
        <v>#REF!</v>
      </c>
      <c r="Z181" t="e">
        <f t="shared" ca="1" si="31"/>
        <v>#REF!</v>
      </c>
      <c r="AB181" t="e">
        <f t="shared" ca="1" si="39"/>
        <v>#REF!</v>
      </c>
      <c r="AD181" t="e">
        <f t="shared" ca="1" si="40"/>
        <v>#REF!</v>
      </c>
    </row>
    <row r="182" spans="1:30" ht="15" x14ac:dyDescent="0.25">
      <c r="A182" s="150">
        <v>175</v>
      </c>
      <c r="B182" s="150" t="str">
        <f t="shared" si="32"/>
        <v>FS1</v>
      </c>
      <c r="D182" t="s">
        <v>416</v>
      </c>
      <c r="E182">
        <f t="shared" ca="1" si="33"/>
        <v>0</v>
      </c>
      <c r="F182" t="e">
        <f t="shared" ca="1" si="41"/>
        <v>#REF!</v>
      </c>
      <c r="G182" t="s">
        <v>417</v>
      </c>
      <c r="H182" t="s">
        <v>421</v>
      </c>
      <c r="I182" t="e">
        <f t="shared" ca="1" si="34"/>
        <v>#REF!</v>
      </c>
      <c r="J182" t="e">
        <f t="shared" ca="1" si="35"/>
        <v>#REF!</v>
      </c>
      <c r="K182" t="s">
        <v>431</v>
      </c>
      <c r="L182" s="150" t="s">
        <v>423</v>
      </c>
      <c r="M182" s="150" t="s">
        <v>435</v>
      </c>
      <c r="N182" t="e">
        <f t="shared" ca="1" si="36"/>
        <v>#REF!</v>
      </c>
      <c r="O182" s="150" t="s">
        <v>412</v>
      </c>
      <c r="P182" s="150" t="s">
        <v>428</v>
      </c>
      <c r="Q182" s="150" t="s">
        <v>399</v>
      </c>
      <c r="R182" t="e">
        <f t="shared" ca="1" si="37"/>
        <v>#REF!</v>
      </c>
      <c r="S182" t="s">
        <v>398</v>
      </c>
      <c r="T182" t="s">
        <v>448</v>
      </c>
      <c r="U182" t="str">
        <f t="shared" ca="1" si="29"/>
        <v>Sheets("Master Data").Range("0" &amp; RowNo).Value</v>
      </c>
      <c r="V182" t="e">
        <f t="shared" ca="1" si="38"/>
        <v>#REF!</v>
      </c>
      <c r="X182" t="e">
        <f t="shared" ca="1" si="30"/>
        <v>#REF!</v>
      </c>
      <c r="Z182" t="e">
        <f t="shared" ca="1" si="31"/>
        <v>#REF!</v>
      </c>
      <c r="AB182" t="e">
        <f t="shared" ca="1" si="39"/>
        <v>#REF!</v>
      </c>
      <c r="AD182" t="e">
        <f t="shared" ca="1" si="40"/>
        <v>#REF!</v>
      </c>
    </row>
    <row r="183" spans="1:30" ht="15" x14ac:dyDescent="0.25">
      <c r="A183" s="150">
        <v>176</v>
      </c>
      <c r="B183" s="150" t="str">
        <f t="shared" si="32"/>
        <v>FT1</v>
      </c>
      <c r="D183" t="s">
        <v>416</v>
      </c>
      <c r="E183">
        <f t="shared" ca="1" si="33"/>
        <v>0</v>
      </c>
      <c r="F183" t="e">
        <f t="shared" ca="1" si="41"/>
        <v>#REF!</v>
      </c>
      <c r="G183" t="s">
        <v>417</v>
      </c>
      <c r="H183" t="s">
        <v>421</v>
      </c>
      <c r="I183" t="e">
        <f t="shared" ca="1" si="34"/>
        <v>#REF!</v>
      </c>
      <c r="J183" t="e">
        <f t="shared" ca="1" si="35"/>
        <v>#REF!</v>
      </c>
      <c r="K183" t="s">
        <v>431</v>
      </c>
      <c r="L183" s="150" t="s">
        <v>423</v>
      </c>
      <c r="M183" s="150" t="s">
        <v>435</v>
      </c>
      <c r="N183" t="e">
        <f t="shared" ca="1" si="36"/>
        <v>#REF!</v>
      </c>
      <c r="O183" s="150" t="s">
        <v>412</v>
      </c>
      <c r="P183" s="150" t="s">
        <v>428</v>
      </c>
      <c r="Q183" s="150" t="s">
        <v>399</v>
      </c>
      <c r="R183" t="e">
        <f t="shared" ca="1" si="37"/>
        <v>#REF!</v>
      </c>
      <c r="S183" t="s">
        <v>398</v>
      </c>
      <c r="T183" t="s">
        <v>448</v>
      </c>
      <c r="U183" t="str">
        <f t="shared" ca="1" si="29"/>
        <v>Sheets("Master Data").Range("0" &amp; RowNo).Value</v>
      </c>
      <c r="V183" t="e">
        <f t="shared" ca="1" si="38"/>
        <v>#REF!</v>
      </c>
      <c r="X183" t="e">
        <f t="shared" ca="1" si="30"/>
        <v>#REF!</v>
      </c>
      <c r="Z183" t="e">
        <f t="shared" ca="1" si="31"/>
        <v>#REF!</v>
      </c>
      <c r="AB183" t="e">
        <f t="shared" ca="1" si="39"/>
        <v>#REF!</v>
      </c>
      <c r="AD183" t="e">
        <f t="shared" ca="1" si="40"/>
        <v>#REF!</v>
      </c>
    </row>
    <row r="184" spans="1:30" ht="15" x14ac:dyDescent="0.25">
      <c r="A184" s="150">
        <v>177</v>
      </c>
      <c r="B184" s="150" t="str">
        <f t="shared" si="32"/>
        <v>FU1</v>
      </c>
      <c r="D184" t="s">
        <v>416</v>
      </c>
      <c r="E184">
        <f t="shared" ca="1" si="33"/>
        <v>0</v>
      </c>
      <c r="F184" t="e">
        <f t="shared" ca="1" si="41"/>
        <v>#REF!</v>
      </c>
      <c r="G184" t="s">
        <v>417</v>
      </c>
      <c r="H184" t="s">
        <v>421</v>
      </c>
      <c r="I184" t="e">
        <f t="shared" ca="1" si="34"/>
        <v>#REF!</v>
      </c>
      <c r="J184" t="e">
        <f t="shared" ca="1" si="35"/>
        <v>#REF!</v>
      </c>
      <c r="K184" t="s">
        <v>431</v>
      </c>
      <c r="L184" s="150" t="s">
        <v>423</v>
      </c>
      <c r="M184" s="150" t="s">
        <v>435</v>
      </c>
      <c r="N184" t="e">
        <f t="shared" ca="1" si="36"/>
        <v>#REF!</v>
      </c>
      <c r="O184" s="150" t="s">
        <v>412</v>
      </c>
      <c r="P184" s="150" t="s">
        <v>428</v>
      </c>
      <c r="Q184" s="150" t="s">
        <v>399</v>
      </c>
      <c r="R184" t="e">
        <f t="shared" ca="1" si="37"/>
        <v>#REF!</v>
      </c>
      <c r="S184" t="s">
        <v>398</v>
      </c>
      <c r="T184" t="s">
        <v>448</v>
      </c>
      <c r="U184" t="str">
        <f t="shared" ca="1" si="29"/>
        <v>Sheets("Master Data").Range("0" &amp; RowNo).Value</v>
      </c>
      <c r="V184" t="e">
        <f t="shared" ca="1" si="38"/>
        <v>#REF!</v>
      </c>
      <c r="X184" t="e">
        <f t="shared" ca="1" si="30"/>
        <v>#REF!</v>
      </c>
      <c r="Z184" t="e">
        <f t="shared" ca="1" si="31"/>
        <v>#REF!</v>
      </c>
      <c r="AB184" t="e">
        <f t="shared" ca="1" si="39"/>
        <v>#REF!</v>
      </c>
      <c r="AD184" t="e">
        <f t="shared" ca="1" si="40"/>
        <v>#REF!</v>
      </c>
    </row>
    <row r="185" spans="1:30" ht="15" x14ac:dyDescent="0.25">
      <c r="A185" s="150">
        <v>178</v>
      </c>
      <c r="B185" s="150" t="str">
        <f t="shared" si="32"/>
        <v>FV1</v>
      </c>
      <c r="D185" t="s">
        <v>416</v>
      </c>
      <c r="E185">
        <f t="shared" ca="1" si="33"/>
        <v>0</v>
      </c>
      <c r="F185" t="e">
        <f t="shared" ca="1" si="41"/>
        <v>#REF!</v>
      </c>
      <c r="G185" t="s">
        <v>417</v>
      </c>
      <c r="H185" t="s">
        <v>421</v>
      </c>
      <c r="I185" t="e">
        <f t="shared" ca="1" si="34"/>
        <v>#REF!</v>
      </c>
      <c r="J185" t="e">
        <f t="shared" ca="1" si="35"/>
        <v>#REF!</v>
      </c>
      <c r="K185" t="s">
        <v>431</v>
      </c>
      <c r="L185" s="150" t="s">
        <v>423</v>
      </c>
      <c r="M185" s="150" t="s">
        <v>435</v>
      </c>
      <c r="N185" t="e">
        <f t="shared" ca="1" si="36"/>
        <v>#REF!</v>
      </c>
      <c r="O185" s="150" t="s">
        <v>412</v>
      </c>
      <c r="P185" s="150" t="s">
        <v>428</v>
      </c>
      <c r="Q185" s="150" t="s">
        <v>399</v>
      </c>
      <c r="R185" t="e">
        <f t="shared" ca="1" si="37"/>
        <v>#REF!</v>
      </c>
      <c r="S185" t="s">
        <v>398</v>
      </c>
      <c r="T185" t="s">
        <v>448</v>
      </c>
      <c r="U185" t="str">
        <f t="shared" ca="1" si="29"/>
        <v>Sheets("Master Data").Range("0" &amp; RowNo).Value</v>
      </c>
      <c r="V185" t="e">
        <f t="shared" ca="1" si="38"/>
        <v>#REF!</v>
      </c>
      <c r="X185" t="e">
        <f t="shared" ca="1" si="30"/>
        <v>#REF!</v>
      </c>
      <c r="Z185" t="e">
        <f t="shared" ca="1" si="31"/>
        <v>#REF!</v>
      </c>
      <c r="AB185" t="e">
        <f t="shared" ca="1" si="39"/>
        <v>#REF!</v>
      </c>
      <c r="AD185" t="e">
        <f t="shared" ca="1" si="40"/>
        <v>#REF!</v>
      </c>
    </row>
    <row r="186" spans="1:30" ht="15" x14ac:dyDescent="0.25">
      <c r="A186" s="150">
        <v>179</v>
      </c>
      <c r="B186" s="150" t="str">
        <f t="shared" si="32"/>
        <v>FW1</v>
      </c>
      <c r="D186" t="s">
        <v>416</v>
      </c>
      <c r="E186">
        <f t="shared" ca="1" si="33"/>
        <v>0</v>
      </c>
      <c r="F186" t="e">
        <f t="shared" ca="1" si="41"/>
        <v>#REF!</v>
      </c>
      <c r="G186" t="s">
        <v>417</v>
      </c>
      <c r="H186" t="s">
        <v>421</v>
      </c>
      <c r="I186" t="e">
        <f t="shared" ca="1" si="34"/>
        <v>#REF!</v>
      </c>
      <c r="J186" t="e">
        <f t="shared" ca="1" si="35"/>
        <v>#REF!</v>
      </c>
      <c r="K186" t="s">
        <v>431</v>
      </c>
      <c r="L186" s="150" t="s">
        <v>423</v>
      </c>
      <c r="M186" s="150" t="s">
        <v>435</v>
      </c>
      <c r="N186" t="e">
        <f t="shared" ca="1" si="36"/>
        <v>#REF!</v>
      </c>
      <c r="O186" s="150" t="s">
        <v>412</v>
      </c>
      <c r="P186" s="150" t="s">
        <v>428</v>
      </c>
      <c r="Q186" s="150" t="s">
        <v>399</v>
      </c>
      <c r="R186" t="e">
        <f t="shared" ca="1" si="37"/>
        <v>#REF!</v>
      </c>
      <c r="S186" t="s">
        <v>398</v>
      </c>
      <c r="T186" t="s">
        <v>448</v>
      </c>
      <c r="U186" t="str">
        <f t="shared" ca="1" si="29"/>
        <v>Sheets("Master Data").Range("0" &amp; RowNo).Value</v>
      </c>
      <c r="V186" t="e">
        <f t="shared" ca="1" si="38"/>
        <v>#REF!</v>
      </c>
      <c r="X186" t="e">
        <f t="shared" ca="1" si="30"/>
        <v>#REF!</v>
      </c>
      <c r="Z186" t="e">
        <f t="shared" ca="1" si="31"/>
        <v>#REF!</v>
      </c>
      <c r="AB186" t="e">
        <f t="shared" ca="1" si="39"/>
        <v>#REF!</v>
      </c>
      <c r="AD186" t="e">
        <f t="shared" ca="1" si="40"/>
        <v>#REF!</v>
      </c>
    </row>
    <row r="187" spans="1:30" ht="15" x14ac:dyDescent="0.25">
      <c r="A187" s="150">
        <v>180</v>
      </c>
      <c r="B187" s="150" t="str">
        <f t="shared" si="32"/>
        <v>FX1</v>
      </c>
      <c r="D187" t="s">
        <v>416</v>
      </c>
      <c r="E187">
        <f t="shared" ca="1" si="33"/>
        <v>0</v>
      </c>
      <c r="F187" t="e">
        <f t="shared" ca="1" si="41"/>
        <v>#REF!</v>
      </c>
      <c r="G187" t="s">
        <v>417</v>
      </c>
      <c r="H187" t="s">
        <v>421</v>
      </c>
      <c r="I187" t="e">
        <f t="shared" ca="1" si="34"/>
        <v>#REF!</v>
      </c>
      <c r="J187" t="e">
        <f t="shared" ca="1" si="35"/>
        <v>#REF!</v>
      </c>
      <c r="K187" t="s">
        <v>431</v>
      </c>
      <c r="L187" s="150" t="s">
        <v>423</v>
      </c>
      <c r="M187" s="150" t="s">
        <v>435</v>
      </c>
      <c r="N187" t="e">
        <f t="shared" ca="1" si="36"/>
        <v>#REF!</v>
      </c>
      <c r="O187" s="150" t="s">
        <v>412</v>
      </c>
      <c r="P187" s="150" t="s">
        <v>428</v>
      </c>
      <c r="Q187" s="150" t="s">
        <v>399</v>
      </c>
      <c r="R187" t="e">
        <f t="shared" ca="1" si="37"/>
        <v>#REF!</v>
      </c>
      <c r="S187" t="s">
        <v>398</v>
      </c>
      <c r="T187" t="s">
        <v>448</v>
      </c>
      <c r="U187" t="str">
        <f t="shared" ca="1" si="29"/>
        <v>Sheets("Master Data").Range("0" &amp; RowNo).Value</v>
      </c>
      <c r="V187" t="e">
        <f t="shared" ca="1" si="38"/>
        <v>#REF!</v>
      </c>
      <c r="X187" t="e">
        <f t="shared" ca="1" si="30"/>
        <v>#REF!</v>
      </c>
      <c r="Z187" t="e">
        <f t="shared" ca="1" si="31"/>
        <v>#REF!</v>
      </c>
      <c r="AB187" t="e">
        <f t="shared" ca="1" si="39"/>
        <v>#REF!</v>
      </c>
      <c r="AD187" t="e">
        <f t="shared" ca="1" si="40"/>
        <v>#REF!</v>
      </c>
    </row>
    <row r="188" spans="1:30" ht="15" x14ac:dyDescent="0.25">
      <c r="A188" s="150">
        <v>181</v>
      </c>
      <c r="B188" s="150" t="str">
        <f t="shared" si="32"/>
        <v>FY1</v>
      </c>
      <c r="D188" t="s">
        <v>416</v>
      </c>
      <c r="E188">
        <f t="shared" ca="1" si="33"/>
        <v>0</v>
      </c>
      <c r="F188" t="e">
        <f t="shared" ca="1" si="41"/>
        <v>#REF!</v>
      </c>
      <c r="G188" t="s">
        <v>417</v>
      </c>
      <c r="H188" t="s">
        <v>421</v>
      </c>
      <c r="I188" t="e">
        <f t="shared" ca="1" si="34"/>
        <v>#REF!</v>
      </c>
      <c r="J188" t="e">
        <f t="shared" ca="1" si="35"/>
        <v>#REF!</v>
      </c>
      <c r="K188" t="s">
        <v>431</v>
      </c>
      <c r="L188" s="150" t="s">
        <v>423</v>
      </c>
      <c r="M188" s="150" t="s">
        <v>435</v>
      </c>
      <c r="N188" t="e">
        <f t="shared" ca="1" si="36"/>
        <v>#REF!</v>
      </c>
      <c r="O188" s="150" t="s">
        <v>412</v>
      </c>
      <c r="P188" s="150" t="s">
        <v>428</v>
      </c>
      <c r="Q188" s="150" t="s">
        <v>399</v>
      </c>
      <c r="R188" t="e">
        <f t="shared" ca="1" si="37"/>
        <v>#REF!</v>
      </c>
      <c r="S188" t="s">
        <v>398</v>
      </c>
      <c r="T188" t="s">
        <v>448</v>
      </c>
      <c r="U188" t="str">
        <f t="shared" ca="1" si="29"/>
        <v>Sheets("Master Data").Range("0" &amp; RowNo).Value</v>
      </c>
      <c r="V188" t="e">
        <f t="shared" ca="1" si="38"/>
        <v>#REF!</v>
      </c>
      <c r="X188" t="e">
        <f t="shared" ca="1" si="30"/>
        <v>#REF!</v>
      </c>
      <c r="Z188" t="e">
        <f t="shared" ca="1" si="31"/>
        <v>#REF!</v>
      </c>
      <c r="AB188" t="e">
        <f t="shared" ca="1" si="39"/>
        <v>#REF!</v>
      </c>
      <c r="AD188" t="e">
        <f t="shared" ca="1" si="40"/>
        <v>#REF!</v>
      </c>
    </row>
    <row r="189" spans="1:30" ht="15" x14ac:dyDescent="0.25">
      <c r="A189" s="150">
        <v>182</v>
      </c>
      <c r="B189" s="150" t="str">
        <f t="shared" si="32"/>
        <v>FZ1</v>
      </c>
      <c r="D189" t="s">
        <v>416</v>
      </c>
      <c r="E189">
        <f t="shared" ca="1" si="33"/>
        <v>0</v>
      </c>
      <c r="F189" t="e">
        <f t="shared" ca="1" si="41"/>
        <v>#REF!</v>
      </c>
      <c r="G189" t="s">
        <v>417</v>
      </c>
      <c r="H189" t="s">
        <v>421</v>
      </c>
      <c r="I189" t="e">
        <f t="shared" ca="1" si="34"/>
        <v>#REF!</v>
      </c>
      <c r="J189" t="e">
        <f t="shared" ca="1" si="35"/>
        <v>#REF!</v>
      </c>
      <c r="K189" t="s">
        <v>431</v>
      </c>
      <c r="L189" s="150" t="s">
        <v>423</v>
      </c>
      <c r="M189" s="150" t="s">
        <v>435</v>
      </c>
      <c r="N189" t="e">
        <f t="shared" ca="1" si="36"/>
        <v>#REF!</v>
      </c>
      <c r="O189" s="150" t="s">
        <v>412</v>
      </c>
      <c r="P189" s="150" t="s">
        <v>428</v>
      </c>
      <c r="Q189" s="150" t="s">
        <v>399</v>
      </c>
      <c r="R189" t="e">
        <f t="shared" ca="1" si="37"/>
        <v>#REF!</v>
      </c>
      <c r="S189" t="s">
        <v>398</v>
      </c>
      <c r="T189" t="s">
        <v>448</v>
      </c>
      <c r="U189" t="str">
        <f t="shared" ca="1" si="29"/>
        <v>Sheets("Master Data").Range("0" &amp; RowNo).Value</v>
      </c>
      <c r="V189" t="e">
        <f t="shared" ca="1" si="38"/>
        <v>#REF!</v>
      </c>
      <c r="X189" t="e">
        <f t="shared" ca="1" si="30"/>
        <v>#REF!</v>
      </c>
      <c r="Z189" t="e">
        <f t="shared" ca="1" si="31"/>
        <v>#REF!</v>
      </c>
      <c r="AB189" t="e">
        <f t="shared" ca="1" si="39"/>
        <v>#REF!</v>
      </c>
      <c r="AD189" t="e">
        <f t="shared" ca="1" si="40"/>
        <v>#REF!</v>
      </c>
    </row>
    <row r="190" spans="1:30" ht="15" x14ac:dyDescent="0.25">
      <c r="A190" s="150">
        <v>183</v>
      </c>
      <c r="B190" s="150" t="str">
        <f t="shared" si="32"/>
        <v>GA1</v>
      </c>
      <c r="D190" t="s">
        <v>416</v>
      </c>
      <c r="E190">
        <f t="shared" ca="1" si="33"/>
        <v>0</v>
      </c>
      <c r="F190" t="e">
        <f t="shared" ca="1" si="41"/>
        <v>#REF!</v>
      </c>
      <c r="G190" t="s">
        <v>417</v>
      </c>
      <c r="H190" t="s">
        <v>421</v>
      </c>
      <c r="I190" t="e">
        <f t="shared" ca="1" si="34"/>
        <v>#REF!</v>
      </c>
      <c r="J190" t="e">
        <f t="shared" ca="1" si="35"/>
        <v>#REF!</v>
      </c>
      <c r="K190" t="s">
        <v>431</v>
      </c>
      <c r="L190" s="150" t="s">
        <v>423</v>
      </c>
      <c r="M190" s="150" t="s">
        <v>435</v>
      </c>
      <c r="N190" t="e">
        <f t="shared" ca="1" si="36"/>
        <v>#REF!</v>
      </c>
      <c r="O190" s="150" t="s">
        <v>412</v>
      </c>
      <c r="P190" s="150" t="s">
        <v>428</v>
      </c>
      <c r="Q190" s="150" t="s">
        <v>399</v>
      </c>
      <c r="R190" t="e">
        <f t="shared" ca="1" si="37"/>
        <v>#REF!</v>
      </c>
      <c r="S190" t="s">
        <v>398</v>
      </c>
      <c r="T190" t="s">
        <v>448</v>
      </c>
      <c r="U190" t="str">
        <f t="shared" ca="1" si="29"/>
        <v>Sheets("Master Data").Range("0" &amp; RowNo).Value</v>
      </c>
      <c r="V190" t="e">
        <f t="shared" ca="1" si="38"/>
        <v>#REF!</v>
      </c>
      <c r="X190" t="e">
        <f t="shared" ca="1" si="30"/>
        <v>#REF!</v>
      </c>
      <c r="Z190" t="e">
        <f t="shared" ca="1" si="31"/>
        <v>#REF!</v>
      </c>
      <c r="AB190" t="e">
        <f t="shared" ca="1" si="39"/>
        <v>#REF!</v>
      </c>
      <c r="AD190" t="e">
        <f t="shared" ca="1" si="40"/>
        <v>#REF!</v>
      </c>
    </row>
    <row r="191" spans="1:30" ht="15" x14ac:dyDescent="0.25">
      <c r="A191" s="150">
        <v>184</v>
      </c>
      <c r="B191" s="150" t="str">
        <f t="shared" si="32"/>
        <v>GB1</v>
      </c>
      <c r="D191" t="s">
        <v>416</v>
      </c>
      <c r="E191">
        <f t="shared" ca="1" si="33"/>
        <v>0</v>
      </c>
      <c r="F191" t="e">
        <f t="shared" ca="1" si="41"/>
        <v>#REF!</v>
      </c>
      <c r="G191" t="s">
        <v>417</v>
      </c>
      <c r="H191" t="s">
        <v>421</v>
      </c>
      <c r="I191" t="e">
        <f t="shared" ca="1" si="34"/>
        <v>#REF!</v>
      </c>
      <c r="J191" t="e">
        <f t="shared" ca="1" si="35"/>
        <v>#REF!</v>
      </c>
      <c r="K191" t="s">
        <v>431</v>
      </c>
      <c r="L191" s="150" t="s">
        <v>423</v>
      </c>
      <c r="M191" s="150" t="s">
        <v>435</v>
      </c>
      <c r="N191" t="e">
        <f t="shared" ca="1" si="36"/>
        <v>#REF!</v>
      </c>
      <c r="O191" s="150" t="s">
        <v>412</v>
      </c>
      <c r="P191" s="150" t="s">
        <v>428</v>
      </c>
      <c r="Q191" s="150" t="s">
        <v>399</v>
      </c>
      <c r="R191" t="e">
        <f t="shared" ca="1" si="37"/>
        <v>#REF!</v>
      </c>
      <c r="S191" t="s">
        <v>398</v>
      </c>
      <c r="T191" t="s">
        <v>448</v>
      </c>
      <c r="U191" t="str">
        <f t="shared" ca="1" si="29"/>
        <v>Sheets("Master Data").Range("0" &amp; RowNo).Value</v>
      </c>
      <c r="V191" t="e">
        <f t="shared" ca="1" si="38"/>
        <v>#REF!</v>
      </c>
      <c r="X191" t="e">
        <f t="shared" ca="1" si="30"/>
        <v>#REF!</v>
      </c>
      <c r="Z191" t="e">
        <f t="shared" ca="1" si="31"/>
        <v>#REF!</v>
      </c>
      <c r="AB191" t="e">
        <f t="shared" ca="1" si="39"/>
        <v>#REF!</v>
      </c>
      <c r="AD191" t="e">
        <f t="shared" ca="1" si="40"/>
        <v>#REF!</v>
      </c>
    </row>
    <row r="192" spans="1:30" ht="15" x14ac:dyDescent="0.25">
      <c r="A192" s="150">
        <v>185</v>
      </c>
      <c r="B192" s="150" t="str">
        <f t="shared" si="32"/>
        <v>GC1</v>
      </c>
      <c r="D192" t="s">
        <v>416</v>
      </c>
      <c r="E192">
        <f t="shared" ca="1" si="33"/>
        <v>0</v>
      </c>
      <c r="F192" t="e">
        <f t="shared" ca="1" si="41"/>
        <v>#REF!</v>
      </c>
      <c r="G192" t="s">
        <v>417</v>
      </c>
      <c r="H192" t="s">
        <v>421</v>
      </c>
      <c r="I192" t="e">
        <f t="shared" ca="1" si="34"/>
        <v>#REF!</v>
      </c>
      <c r="J192" t="e">
        <f t="shared" ca="1" si="35"/>
        <v>#REF!</v>
      </c>
      <c r="K192" t="s">
        <v>431</v>
      </c>
      <c r="L192" s="150" t="s">
        <v>423</v>
      </c>
      <c r="M192" s="150" t="s">
        <v>435</v>
      </c>
      <c r="N192" t="e">
        <f t="shared" ca="1" si="36"/>
        <v>#REF!</v>
      </c>
      <c r="O192" s="150" t="s">
        <v>412</v>
      </c>
      <c r="P192" s="150" t="s">
        <v>428</v>
      </c>
      <c r="Q192" s="150" t="s">
        <v>399</v>
      </c>
      <c r="R192" t="e">
        <f t="shared" ca="1" si="37"/>
        <v>#REF!</v>
      </c>
      <c r="S192" t="s">
        <v>398</v>
      </c>
      <c r="T192" t="s">
        <v>448</v>
      </c>
      <c r="U192" t="str">
        <f t="shared" ca="1" si="29"/>
        <v>Sheets("Master Data").Range("0" &amp; RowNo).Value</v>
      </c>
      <c r="V192" t="e">
        <f t="shared" ca="1" si="38"/>
        <v>#REF!</v>
      </c>
      <c r="X192" t="e">
        <f t="shared" ca="1" si="30"/>
        <v>#REF!</v>
      </c>
      <c r="Z192" t="e">
        <f t="shared" ca="1" si="31"/>
        <v>#REF!</v>
      </c>
      <c r="AB192" t="e">
        <f t="shared" ca="1" si="39"/>
        <v>#REF!</v>
      </c>
      <c r="AD192" t="e">
        <f t="shared" ca="1" si="40"/>
        <v>#REF!</v>
      </c>
    </row>
    <row r="193" spans="1:30" ht="15" x14ac:dyDescent="0.25">
      <c r="A193" s="150">
        <v>186</v>
      </c>
      <c r="B193" s="150" t="str">
        <f t="shared" si="32"/>
        <v>GD1</v>
      </c>
      <c r="D193" t="s">
        <v>416</v>
      </c>
      <c r="E193">
        <f t="shared" ca="1" si="33"/>
        <v>0</v>
      </c>
      <c r="F193" t="e">
        <f t="shared" ca="1" si="41"/>
        <v>#REF!</v>
      </c>
      <c r="G193" t="s">
        <v>417</v>
      </c>
      <c r="H193" t="s">
        <v>421</v>
      </c>
      <c r="I193" t="e">
        <f t="shared" ca="1" si="34"/>
        <v>#REF!</v>
      </c>
      <c r="J193" t="e">
        <f t="shared" ca="1" si="35"/>
        <v>#REF!</v>
      </c>
      <c r="K193" t="s">
        <v>431</v>
      </c>
      <c r="L193" s="150" t="s">
        <v>423</v>
      </c>
      <c r="M193" s="150" t="s">
        <v>435</v>
      </c>
      <c r="N193" t="e">
        <f t="shared" ca="1" si="36"/>
        <v>#REF!</v>
      </c>
      <c r="O193" s="150" t="s">
        <v>412</v>
      </c>
      <c r="P193" s="150" t="s">
        <v>428</v>
      </c>
      <c r="Q193" s="150" t="s">
        <v>399</v>
      </c>
      <c r="R193" t="e">
        <f t="shared" ca="1" si="37"/>
        <v>#REF!</v>
      </c>
      <c r="S193" t="s">
        <v>398</v>
      </c>
      <c r="T193" t="s">
        <v>448</v>
      </c>
      <c r="U193" t="str">
        <f t="shared" ca="1" si="29"/>
        <v>Sheets("Master Data").Range("0" &amp; RowNo).Value</v>
      </c>
      <c r="V193" t="e">
        <f t="shared" ca="1" si="38"/>
        <v>#REF!</v>
      </c>
      <c r="X193" t="e">
        <f t="shared" ca="1" si="30"/>
        <v>#REF!</v>
      </c>
      <c r="Z193" t="e">
        <f t="shared" ca="1" si="31"/>
        <v>#REF!</v>
      </c>
      <c r="AB193" t="e">
        <f t="shared" ca="1" si="39"/>
        <v>#REF!</v>
      </c>
      <c r="AD193" t="e">
        <f t="shared" ca="1" si="40"/>
        <v>#REF!</v>
      </c>
    </row>
    <row r="194" spans="1:30" ht="15" x14ac:dyDescent="0.25">
      <c r="A194" s="150">
        <v>187</v>
      </c>
      <c r="B194" s="150" t="str">
        <f t="shared" si="32"/>
        <v>GE1</v>
      </c>
      <c r="D194" t="s">
        <v>416</v>
      </c>
      <c r="E194">
        <f t="shared" ca="1" si="33"/>
        <v>0</v>
      </c>
      <c r="F194" t="e">
        <f t="shared" ca="1" si="41"/>
        <v>#REF!</v>
      </c>
      <c r="G194" t="s">
        <v>417</v>
      </c>
      <c r="H194" t="s">
        <v>421</v>
      </c>
      <c r="I194" t="e">
        <f t="shared" ca="1" si="34"/>
        <v>#REF!</v>
      </c>
      <c r="J194" t="e">
        <f t="shared" ca="1" si="35"/>
        <v>#REF!</v>
      </c>
      <c r="K194" t="s">
        <v>431</v>
      </c>
      <c r="L194" s="150" t="s">
        <v>423</v>
      </c>
      <c r="M194" s="150" t="s">
        <v>435</v>
      </c>
      <c r="N194" t="e">
        <f t="shared" ca="1" si="36"/>
        <v>#REF!</v>
      </c>
      <c r="O194" s="150" t="s">
        <v>412</v>
      </c>
      <c r="P194" s="150" t="s">
        <v>428</v>
      </c>
      <c r="Q194" s="150" t="s">
        <v>399</v>
      </c>
      <c r="R194" t="e">
        <f t="shared" ca="1" si="37"/>
        <v>#REF!</v>
      </c>
      <c r="S194" t="s">
        <v>398</v>
      </c>
      <c r="T194" t="s">
        <v>448</v>
      </c>
      <c r="U194" t="str">
        <f t="shared" ca="1" si="29"/>
        <v>Sheets("Master Data").Range("0" &amp; RowNo).Value</v>
      </c>
      <c r="V194" t="e">
        <f t="shared" ca="1" si="38"/>
        <v>#REF!</v>
      </c>
      <c r="X194" t="e">
        <f t="shared" ca="1" si="30"/>
        <v>#REF!</v>
      </c>
      <c r="Z194" t="e">
        <f t="shared" ca="1" si="31"/>
        <v>#REF!</v>
      </c>
      <c r="AB194" t="e">
        <f t="shared" ca="1" si="39"/>
        <v>#REF!</v>
      </c>
      <c r="AD194" t="e">
        <f t="shared" ca="1" si="40"/>
        <v>#REF!</v>
      </c>
    </row>
    <row r="195" spans="1:30" ht="15" x14ac:dyDescent="0.25">
      <c r="A195" s="150">
        <v>188</v>
      </c>
      <c r="B195" s="150" t="str">
        <f t="shared" si="32"/>
        <v>GF1</v>
      </c>
      <c r="D195" t="s">
        <v>416</v>
      </c>
      <c r="E195">
        <f t="shared" ca="1" si="33"/>
        <v>0</v>
      </c>
      <c r="F195" t="e">
        <f t="shared" ca="1" si="41"/>
        <v>#REF!</v>
      </c>
      <c r="G195" t="s">
        <v>417</v>
      </c>
      <c r="H195" t="s">
        <v>421</v>
      </c>
      <c r="I195" t="e">
        <f t="shared" ca="1" si="34"/>
        <v>#REF!</v>
      </c>
      <c r="J195" t="e">
        <f t="shared" ca="1" si="35"/>
        <v>#REF!</v>
      </c>
      <c r="K195" t="s">
        <v>431</v>
      </c>
      <c r="L195" s="150" t="s">
        <v>423</v>
      </c>
      <c r="M195" s="150" t="s">
        <v>435</v>
      </c>
      <c r="N195" t="e">
        <f t="shared" ca="1" si="36"/>
        <v>#REF!</v>
      </c>
      <c r="O195" s="150" t="s">
        <v>412</v>
      </c>
      <c r="P195" s="150" t="s">
        <v>428</v>
      </c>
      <c r="Q195" s="150" t="s">
        <v>399</v>
      </c>
      <c r="R195" t="e">
        <f t="shared" ca="1" si="37"/>
        <v>#REF!</v>
      </c>
      <c r="S195" t="s">
        <v>398</v>
      </c>
      <c r="T195" t="s">
        <v>448</v>
      </c>
      <c r="U195" t="str">
        <f t="shared" ca="1" si="29"/>
        <v>Sheets("Master Data").Range("0" &amp; RowNo).Value</v>
      </c>
      <c r="V195" t="e">
        <f t="shared" ca="1" si="38"/>
        <v>#REF!</v>
      </c>
      <c r="X195" t="e">
        <f t="shared" ca="1" si="30"/>
        <v>#REF!</v>
      </c>
      <c r="Z195" t="e">
        <f t="shared" ca="1" si="31"/>
        <v>#REF!</v>
      </c>
      <c r="AB195" t="e">
        <f t="shared" ca="1" si="39"/>
        <v>#REF!</v>
      </c>
      <c r="AD195" t="e">
        <f t="shared" ca="1" si="40"/>
        <v>#REF!</v>
      </c>
    </row>
    <row r="196" spans="1:30" ht="15" x14ac:dyDescent="0.25">
      <c r="A196" s="150">
        <v>189</v>
      </c>
      <c r="B196" s="150" t="str">
        <f t="shared" si="32"/>
        <v>GG1</v>
      </c>
      <c r="D196" t="s">
        <v>416</v>
      </c>
      <c r="E196">
        <f t="shared" ca="1" si="33"/>
        <v>0</v>
      </c>
      <c r="F196" t="e">
        <f t="shared" ca="1" si="41"/>
        <v>#REF!</v>
      </c>
      <c r="G196" t="s">
        <v>417</v>
      </c>
      <c r="H196" t="s">
        <v>421</v>
      </c>
      <c r="I196" t="e">
        <f t="shared" ca="1" si="34"/>
        <v>#REF!</v>
      </c>
      <c r="J196" t="e">
        <f t="shared" ca="1" si="35"/>
        <v>#REF!</v>
      </c>
      <c r="K196" t="s">
        <v>431</v>
      </c>
      <c r="L196" s="150" t="s">
        <v>423</v>
      </c>
      <c r="M196" s="150" t="s">
        <v>435</v>
      </c>
      <c r="N196" t="e">
        <f t="shared" ca="1" si="36"/>
        <v>#REF!</v>
      </c>
      <c r="O196" s="150" t="s">
        <v>412</v>
      </c>
      <c r="P196" s="150" t="s">
        <v>428</v>
      </c>
      <c r="Q196" s="150" t="s">
        <v>399</v>
      </c>
      <c r="R196" t="e">
        <f t="shared" ca="1" si="37"/>
        <v>#REF!</v>
      </c>
      <c r="S196" t="s">
        <v>398</v>
      </c>
      <c r="T196" t="s">
        <v>448</v>
      </c>
      <c r="U196" t="str">
        <f t="shared" ca="1" si="29"/>
        <v>Sheets("Master Data").Range("0" &amp; RowNo).Value</v>
      </c>
      <c r="V196" t="e">
        <f t="shared" ca="1" si="38"/>
        <v>#REF!</v>
      </c>
      <c r="X196" t="e">
        <f t="shared" ca="1" si="30"/>
        <v>#REF!</v>
      </c>
      <c r="Z196" t="e">
        <f t="shared" ca="1" si="31"/>
        <v>#REF!</v>
      </c>
      <c r="AB196" t="e">
        <f t="shared" ca="1" si="39"/>
        <v>#REF!</v>
      </c>
      <c r="AD196" t="e">
        <f t="shared" ca="1" si="40"/>
        <v>#REF!</v>
      </c>
    </row>
    <row r="197" spans="1:30" ht="15" x14ac:dyDescent="0.25">
      <c r="A197" s="150">
        <v>190</v>
      </c>
      <c r="B197" s="150" t="str">
        <f t="shared" si="32"/>
        <v>GH1</v>
      </c>
      <c r="D197" t="s">
        <v>416</v>
      </c>
      <c r="E197">
        <f t="shared" ca="1" si="33"/>
        <v>0</v>
      </c>
      <c r="F197" t="e">
        <f t="shared" ca="1" si="41"/>
        <v>#REF!</v>
      </c>
      <c r="G197" t="s">
        <v>417</v>
      </c>
      <c r="H197" t="s">
        <v>421</v>
      </c>
      <c r="I197" t="e">
        <f t="shared" ca="1" si="34"/>
        <v>#REF!</v>
      </c>
      <c r="J197" t="e">
        <f t="shared" ca="1" si="35"/>
        <v>#REF!</v>
      </c>
      <c r="K197" t="s">
        <v>431</v>
      </c>
      <c r="L197" s="150" t="s">
        <v>423</v>
      </c>
      <c r="M197" s="150" t="s">
        <v>435</v>
      </c>
      <c r="N197" t="e">
        <f t="shared" ca="1" si="36"/>
        <v>#REF!</v>
      </c>
      <c r="O197" s="150" t="s">
        <v>412</v>
      </c>
      <c r="P197" s="150" t="s">
        <v>428</v>
      </c>
      <c r="Q197" s="150" t="s">
        <v>399</v>
      </c>
      <c r="R197" t="e">
        <f t="shared" ca="1" si="37"/>
        <v>#REF!</v>
      </c>
      <c r="S197" t="s">
        <v>398</v>
      </c>
      <c r="T197" t="s">
        <v>448</v>
      </c>
      <c r="U197" t="str">
        <f t="shared" ca="1" si="29"/>
        <v>Sheets("Master Data").Range("0" &amp; RowNo).Value</v>
      </c>
      <c r="V197" t="e">
        <f t="shared" ca="1" si="38"/>
        <v>#REF!</v>
      </c>
      <c r="X197" t="e">
        <f t="shared" ca="1" si="30"/>
        <v>#REF!</v>
      </c>
      <c r="Z197" t="e">
        <f t="shared" ca="1" si="31"/>
        <v>#REF!</v>
      </c>
      <c r="AB197" t="e">
        <f t="shared" ca="1" si="39"/>
        <v>#REF!</v>
      </c>
      <c r="AD197" t="e">
        <f t="shared" ca="1" si="40"/>
        <v>#REF!</v>
      </c>
    </row>
    <row r="198" spans="1:30" ht="15" x14ac:dyDescent="0.25">
      <c r="A198" s="150">
        <v>191</v>
      </c>
      <c r="B198" s="150" t="str">
        <f t="shared" si="32"/>
        <v>GI1</v>
      </c>
      <c r="D198" t="s">
        <v>416</v>
      </c>
      <c r="E198">
        <f t="shared" ca="1" si="33"/>
        <v>0</v>
      </c>
      <c r="F198" t="e">
        <f t="shared" ca="1" si="41"/>
        <v>#REF!</v>
      </c>
      <c r="G198" t="s">
        <v>417</v>
      </c>
      <c r="H198" t="s">
        <v>421</v>
      </c>
      <c r="I198" t="e">
        <f t="shared" ca="1" si="34"/>
        <v>#REF!</v>
      </c>
      <c r="J198" t="e">
        <f t="shared" ca="1" si="35"/>
        <v>#REF!</v>
      </c>
      <c r="K198" t="s">
        <v>431</v>
      </c>
      <c r="L198" s="150" t="s">
        <v>423</v>
      </c>
      <c r="M198" s="150" t="s">
        <v>435</v>
      </c>
      <c r="N198" t="e">
        <f t="shared" ca="1" si="36"/>
        <v>#REF!</v>
      </c>
      <c r="O198" s="150" t="s">
        <v>412</v>
      </c>
      <c r="P198" s="150" t="s">
        <v>428</v>
      </c>
      <c r="Q198" s="150" t="s">
        <v>399</v>
      </c>
      <c r="R198" t="e">
        <f t="shared" ca="1" si="37"/>
        <v>#REF!</v>
      </c>
      <c r="S198" t="s">
        <v>398</v>
      </c>
      <c r="T198" t="s">
        <v>448</v>
      </c>
      <c r="U198" t="str">
        <f t="shared" ca="1" si="29"/>
        <v>Sheets("Master Data").Range("0" &amp; RowNo).Value</v>
      </c>
      <c r="V198" t="e">
        <f t="shared" ca="1" si="38"/>
        <v>#REF!</v>
      </c>
      <c r="X198" t="e">
        <f t="shared" ca="1" si="30"/>
        <v>#REF!</v>
      </c>
      <c r="Z198" t="e">
        <f t="shared" ca="1" si="31"/>
        <v>#REF!</v>
      </c>
      <c r="AB198" t="e">
        <f t="shared" ca="1" si="39"/>
        <v>#REF!</v>
      </c>
      <c r="AD198" t="e">
        <f t="shared" ca="1" si="40"/>
        <v>#REF!</v>
      </c>
    </row>
    <row r="199" spans="1:30" ht="15" x14ac:dyDescent="0.25">
      <c r="A199" s="150">
        <v>192</v>
      </c>
      <c r="B199" s="150" t="str">
        <f t="shared" si="32"/>
        <v>GJ1</v>
      </c>
      <c r="D199" t="s">
        <v>416</v>
      </c>
      <c r="E199">
        <f t="shared" ca="1" si="33"/>
        <v>0</v>
      </c>
      <c r="F199" t="e">
        <f t="shared" ca="1" si="41"/>
        <v>#REF!</v>
      </c>
      <c r="G199" t="s">
        <v>417</v>
      </c>
      <c r="H199" t="s">
        <v>421</v>
      </c>
      <c r="I199" t="e">
        <f t="shared" ca="1" si="34"/>
        <v>#REF!</v>
      </c>
      <c r="J199" t="e">
        <f t="shared" ca="1" si="35"/>
        <v>#REF!</v>
      </c>
      <c r="K199" t="s">
        <v>431</v>
      </c>
      <c r="L199" s="150" t="s">
        <v>423</v>
      </c>
      <c r="M199" s="150" t="s">
        <v>435</v>
      </c>
      <c r="N199" t="e">
        <f t="shared" ca="1" si="36"/>
        <v>#REF!</v>
      </c>
      <c r="O199" s="150" t="s">
        <v>412</v>
      </c>
      <c r="P199" s="150" t="s">
        <v>428</v>
      </c>
      <c r="Q199" s="150" t="s">
        <v>399</v>
      </c>
      <c r="R199" t="e">
        <f t="shared" ca="1" si="37"/>
        <v>#REF!</v>
      </c>
      <c r="S199" t="s">
        <v>398</v>
      </c>
      <c r="T199" t="s">
        <v>448</v>
      </c>
      <c r="U199" t="str">
        <f t="shared" ca="1" si="29"/>
        <v>Sheets("Master Data").Range("0" &amp; RowNo).Value</v>
      </c>
      <c r="V199" t="e">
        <f t="shared" ca="1" si="38"/>
        <v>#REF!</v>
      </c>
      <c r="X199" t="e">
        <f t="shared" ca="1" si="30"/>
        <v>#REF!</v>
      </c>
      <c r="Z199" t="e">
        <f t="shared" ca="1" si="31"/>
        <v>#REF!</v>
      </c>
      <c r="AB199" t="e">
        <f t="shared" ca="1" si="39"/>
        <v>#REF!</v>
      </c>
      <c r="AD199" t="e">
        <f t="shared" ca="1" si="40"/>
        <v>#REF!</v>
      </c>
    </row>
    <row r="200" spans="1:30" ht="15" x14ac:dyDescent="0.25">
      <c r="A200" s="150">
        <v>193</v>
      </c>
      <c r="B200" s="150" t="str">
        <f t="shared" si="32"/>
        <v>GK1</v>
      </c>
      <c r="D200" t="s">
        <v>416</v>
      </c>
      <c r="E200">
        <f t="shared" ca="1" si="33"/>
        <v>0</v>
      </c>
      <c r="F200" t="e">
        <f t="shared" ca="1" si="41"/>
        <v>#REF!</v>
      </c>
      <c r="G200" t="s">
        <v>417</v>
      </c>
      <c r="H200" t="s">
        <v>421</v>
      </c>
      <c r="I200" t="e">
        <f t="shared" ca="1" si="34"/>
        <v>#REF!</v>
      </c>
      <c r="J200" t="e">
        <f t="shared" ca="1" si="35"/>
        <v>#REF!</v>
      </c>
      <c r="K200" t="s">
        <v>431</v>
      </c>
      <c r="L200" s="150" t="s">
        <v>423</v>
      </c>
      <c r="M200" s="150" t="s">
        <v>435</v>
      </c>
      <c r="N200" t="e">
        <f t="shared" ca="1" si="36"/>
        <v>#REF!</v>
      </c>
      <c r="O200" s="150" t="s">
        <v>412</v>
      </c>
      <c r="P200" s="150" t="s">
        <v>428</v>
      </c>
      <c r="Q200" s="150" t="s">
        <v>399</v>
      </c>
      <c r="R200" t="e">
        <f t="shared" ca="1" si="37"/>
        <v>#REF!</v>
      </c>
      <c r="S200" t="s">
        <v>398</v>
      </c>
      <c r="T200" t="s">
        <v>448</v>
      </c>
      <c r="U200" t="str">
        <f t="shared" ref="U200:U263" ca="1" si="42">CONCATENATE(S200,L200,E200,L200,M200,K200,Q200)</f>
        <v>Sheets("Master Data").Range("0" &amp; RowNo).Value</v>
      </c>
      <c r="V200" t="e">
        <f t="shared" ca="1" si="38"/>
        <v>#REF!</v>
      </c>
      <c r="X200" t="e">
        <f t="shared" ref="X200:X263" ca="1" si="43">CONCATENATE(U200,O200,R200)</f>
        <v>#REF!</v>
      </c>
      <c r="Z200" t="e">
        <f t="shared" ref="Z200:Z263" ca="1" si="44">CONCATENATE(R200,O200,U200)</f>
        <v>#REF!</v>
      </c>
      <c r="AB200" t="e">
        <f t="shared" ca="1" si="39"/>
        <v>#REF!</v>
      </c>
      <c r="AD200" t="e">
        <f t="shared" ca="1" si="40"/>
        <v>#REF!</v>
      </c>
    </row>
    <row r="201" spans="1:30" ht="15" x14ac:dyDescent="0.25">
      <c r="A201" s="150">
        <v>194</v>
      </c>
      <c r="B201" s="150" t="str">
        <f t="shared" ref="B201:B264" si="45">ADDRESS(1, A201, 4)</f>
        <v>GL1</v>
      </c>
      <c r="D201" t="s">
        <v>416</v>
      </c>
      <c r="E201">
        <f t="shared" ref="E201:E264" ca="1" si="46">INDIRECT("'Master Data'!" &amp; B201)</f>
        <v>0</v>
      </c>
      <c r="F201" t="e">
        <f t="shared" ca="1" si="41"/>
        <v>#REF!</v>
      </c>
      <c r="G201" t="s">
        <v>417</v>
      </c>
      <c r="H201" t="s">
        <v>421</v>
      </c>
      <c r="I201" t="e">
        <f t="shared" ref="I201:I264" ca="1" si="47">SUBSTITUTE(INDIRECT("'Master Data'!" &amp; E201 &amp; 2),"$","")</f>
        <v>#REF!</v>
      </c>
      <c r="J201" t="e">
        <f t="shared" ref="J201:J264" ca="1" si="48">SUBSTITUTE(INDIRECT("'Master Data'!" &amp; E201 &amp; 3),"$","")</f>
        <v>#REF!</v>
      </c>
      <c r="K201" t="s">
        <v>431</v>
      </c>
      <c r="L201" s="150" t="s">
        <v>423</v>
      </c>
      <c r="M201" s="150" t="s">
        <v>435</v>
      </c>
      <c r="N201" t="e">
        <f t="shared" ref="N201:N264" ca="1" si="49">INDIRECT("'Master Data'!" &amp; E201 &amp; 3)</f>
        <v>#REF!</v>
      </c>
      <c r="O201" s="150" t="s">
        <v>412</v>
      </c>
      <c r="P201" s="150" t="s">
        <v>428</v>
      </c>
      <c r="Q201" s="150" t="s">
        <v>399</v>
      </c>
      <c r="R201" t="e">
        <f t="shared" ref="R201:R264" ca="1" si="50">CONCATENATE(P201,L201,I201,L201,Q201)</f>
        <v>#REF!</v>
      </c>
      <c r="S201" t="s">
        <v>398</v>
      </c>
      <c r="T201" t="s">
        <v>448</v>
      </c>
      <c r="U201" t="str">
        <f t="shared" ca="1" si="42"/>
        <v>Sheets("Master Data").Range("0" &amp; RowNo).Value</v>
      </c>
      <c r="V201" t="e">
        <f t="shared" ref="V201:V264" ca="1" si="51">CONCATENATE(T201,L201,J201,L201,Q201)</f>
        <v>#REF!</v>
      </c>
      <c r="X201" t="e">
        <f t="shared" ca="1" si="43"/>
        <v>#REF!</v>
      </c>
      <c r="Z201" t="e">
        <f t="shared" ca="1" si="44"/>
        <v>#REF!</v>
      </c>
      <c r="AB201" t="e">
        <f t="shared" ref="AB201:AB264" ca="1" si="52">CONCATENATE(V201,O201,R201)</f>
        <v>#REF!</v>
      </c>
      <c r="AD201" t="e">
        <f t="shared" ca="1" si="40"/>
        <v>#REF!</v>
      </c>
    </row>
    <row r="202" spans="1:30" ht="15" x14ac:dyDescent="0.25">
      <c r="A202" s="150">
        <v>195</v>
      </c>
      <c r="B202" s="150" t="str">
        <f t="shared" si="45"/>
        <v>GM1</v>
      </c>
      <c r="D202" t="s">
        <v>416</v>
      </c>
      <c r="E202">
        <f t="shared" ca="1" si="46"/>
        <v>0</v>
      </c>
      <c r="F202" t="e">
        <f t="shared" ca="1" si="41"/>
        <v>#REF!</v>
      </c>
      <c r="G202" t="s">
        <v>417</v>
      </c>
      <c r="H202" t="s">
        <v>421</v>
      </c>
      <c r="I202" t="e">
        <f t="shared" ca="1" si="47"/>
        <v>#REF!</v>
      </c>
      <c r="J202" t="e">
        <f t="shared" ca="1" si="48"/>
        <v>#REF!</v>
      </c>
      <c r="K202" t="s">
        <v>431</v>
      </c>
      <c r="L202" s="150" t="s">
        <v>423</v>
      </c>
      <c r="M202" s="150" t="s">
        <v>435</v>
      </c>
      <c r="N202" t="e">
        <f t="shared" ca="1" si="49"/>
        <v>#REF!</v>
      </c>
      <c r="O202" s="150" t="s">
        <v>412</v>
      </c>
      <c r="P202" s="150" t="s">
        <v>428</v>
      </c>
      <c r="Q202" s="150" t="s">
        <v>399</v>
      </c>
      <c r="R202" t="e">
        <f t="shared" ca="1" si="50"/>
        <v>#REF!</v>
      </c>
      <c r="S202" t="s">
        <v>398</v>
      </c>
      <c r="T202" t="s">
        <v>448</v>
      </c>
      <c r="U202" t="str">
        <f t="shared" ca="1" si="42"/>
        <v>Sheets("Master Data").Range("0" &amp; RowNo).Value</v>
      </c>
      <c r="V202" t="e">
        <f t="shared" ca="1" si="51"/>
        <v>#REF!</v>
      </c>
      <c r="X202" t="e">
        <f t="shared" ca="1" si="43"/>
        <v>#REF!</v>
      </c>
      <c r="Z202" t="e">
        <f t="shared" ca="1" si="44"/>
        <v>#REF!</v>
      </c>
      <c r="AB202" t="e">
        <f t="shared" ca="1" si="52"/>
        <v>#REF!</v>
      </c>
      <c r="AD202" t="e">
        <f t="shared" ca="1" si="40"/>
        <v>#REF!</v>
      </c>
    </row>
    <row r="203" spans="1:30" ht="15" x14ac:dyDescent="0.25">
      <c r="A203" s="150">
        <v>196</v>
      </c>
      <c r="B203" s="150" t="str">
        <f t="shared" si="45"/>
        <v>GN1</v>
      </c>
      <c r="D203" t="s">
        <v>416</v>
      </c>
      <c r="E203">
        <f t="shared" ca="1" si="46"/>
        <v>0</v>
      </c>
      <c r="F203" t="e">
        <f t="shared" ca="1" si="41"/>
        <v>#REF!</v>
      </c>
      <c r="G203" t="s">
        <v>417</v>
      </c>
      <c r="H203" t="s">
        <v>421</v>
      </c>
      <c r="I203" t="e">
        <f t="shared" ca="1" si="47"/>
        <v>#REF!</v>
      </c>
      <c r="J203" t="e">
        <f t="shared" ca="1" si="48"/>
        <v>#REF!</v>
      </c>
      <c r="K203" t="s">
        <v>431</v>
      </c>
      <c r="L203" s="150" t="s">
        <v>423</v>
      </c>
      <c r="M203" s="150" t="s">
        <v>435</v>
      </c>
      <c r="N203" t="e">
        <f t="shared" ca="1" si="49"/>
        <v>#REF!</v>
      </c>
      <c r="O203" s="150" t="s">
        <v>412</v>
      </c>
      <c r="P203" s="150" t="s">
        <v>428</v>
      </c>
      <c r="Q203" s="150" t="s">
        <v>399</v>
      </c>
      <c r="R203" t="e">
        <f t="shared" ca="1" si="50"/>
        <v>#REF!</v>
      </c>
      <c r="S203" t="s">
        <v>398</v>
      </c>
      <c r="T203" t="s">
        <v>448</v>
      </c>
      <c r="U203" t="str">
        <f t="shared" ca="1" si="42"/>
        <v>Sheets("Master Data").Range("0" &amp; RowNo).Value</v>
      </c>
      <c r="V203" t="e">
        <f t="shared" ca="1" si="51"/>
        <v>#REF!</v>
      </c>
      <c r="X203" t="e">
        <f t="shared" ca="1" si="43"/>
        <v>#REF!</v>
      </c>
      <c r="Z203" t="e">
        <f t="shared" ca="1" si="44"/>
        <v>#REF!</v>
      </c>
      <c r="AB203" t="e">
        <f t="shared" ca="1" si="52"/>
        <v>#REF!</v>
      </c>
      <c r="AD203" t="e">
        <f t="shared" ca="1" si="40"/>
        <v>#REF!</v>
      </c>
    </row>
    <row r="204" spans="1:30" ht="15" x14ac:dyDescent="0.25">
      <c r="A204" s="150">
        <v>197</v>
      </c>
      <c r="B204" s="150" t="str">
        <f t="shared" si="45"/>
        <v>GO1</v>
      </c>
      <c r="D204" t="s">
        <v>416</v>
      </c>
      <c r="E204">
        <f t="shared" ca="1" si="46"/>
        <v>0</v>
      </c>
      <c r="F204" t="e">
        <f t="shared" ca="1" si="41"/>
        <v>#REF!</v>
      </c>
      <c r="G204" t="s">
        <v>417</v>
      </c>
      <c r="H204" t="s">
        <v>421</v>
      </c>
      <c r="I204" t="e">
        <f t="shared" ca="1" si="47"/>
        <v>#REF!</v>
      </c>
      <c r="J204" t="e">
        <f t="shared" ca="1" si="48"/>
        <v>#REF!</v>
      </c>
      <c r="K204" t="s">
        <v>431</v>
      </c>
      <c r="L204" s="150" t="s">
        <v>423</v>
      </c>
      <c r="M204" s="150" t="s">
        <v>435</v>
      </c>
      <c r="N204" t="e">
        <f t="shared" ca="1" si="49"/>
        <v>#REF!</v>
      </c>
      <c r="O204" s="150" t="s">
        <v>412</v>
      </c>
      <c r="P204" s="150" t="s">
        <v>428</v>
      </c>
      <c r="Q204" s="150" t="s">
        <v>399</v>
      </c>
      <c r="R204" t="e">
        <f t="shared" ca="1" si="50"/>
        <v>#REF!</v>
      </c>
      <c r="S204" t="s">
        <v>398</v>
      </c>
      <c r="T204" t="s">
        <v>448</v>
      </c>
      <c r="U204" t="str">
        <f t="shared" ca="1" si="42"/>
        <v>Sheets("Master Data").Range("0" &amp; RowNo).Value</v>
      </c>
      <c r="V204" t="e">
        <f t="shared" ca="1" si="51"/>
        <v>#REF!</v>
      </c>
      <c r="X204" t="e">
        <f t="shared" ca="1" si="43"/>
        <v>#REF!</v>
      </c>
      <c r="Z204" t="e">
        <f t="shared" ca="1" si="44"/>
        <v>#REF!</v>
      </c>
      <c r="AB204" t="e">
        <f t="shared" ca="1" si="52"/>
        <v>#REF!</v>
      </c>
      <c r="AD204" t="e">
        <f t="shared" ca="1" si="40"/>
        <v>#REF!</v>
      </c>
    </row>
    <row r="205" spans="1:30" ht="15" x14ac:dyDescent="0.25">
      <c r="A205" s="150">
        <v>198</v>
      </c>
      <c r="B205" s="150" t="str">
        <f t="shared" si="45"/>
        <v>GP1</v>
      </c>
      <c r="D205" t="s">
        <v>416</v>
      </c>
      <c r="E205">
        <f t="shared" ca="1" si="46"/>
        <v>0</v>
      </c>
      <c r="F205" t="e">
        <f t="shared" ca="1" si="41"/>
        <v>#REF!</v>
      </c>
      <c r="G205" t="s">
        <v>417</v>
      </c>
      <c r="H205" t="s">
        <v>421</v>
      </c>
      <c r="I205" t="e">
        <f t="shared" ca="1" si="47"/>
        <v>#REF!</v>
      </c>
      <c r="J205" t="e">
        <f t="shared" ca="1" si="48"/>
        <v>#REF!</v>
      </c>
      <c r="K205" t="s">
        <v>431</v>
      </c>
      <c r="L205" s="150" t="s">
        <v>423</v>
      </c>
      <c r="M205" s="150" t="s">
        <v>435</v>
      </c>
      <c r="N205" t="e">
        <f t="shared" ca="1" si="49"/>
        <v>#REF!</v>
      </c>
      <c r="O205" s="150" t="s">
        <v>412</v>
      </c>
      <c r="P205" s="150" t="s">
        <v>428</v>
      </c>
      <c r="Q205" s="150" t="s">
        <v>399</v>
      </c>
      <c r="R205" t="e">
        <f t="shared" ca="1" si="50"/>
        <v>#REF!</v>
      </c>
      <c r="S205" t="s">
        <v>398</v>
      </c>
      <c r="T205" t="s">
        <v>448</v>
      </c>
      <c r="U205" t="str">
        <f t="shared" ca="1" si="42"/>
        <v>Sheets("Master Data").Range("0" &amp; RowNo).Value</v>
      </c>
      <c r="V205" t="e">
        <f t="shared" ca="1" si="51"/>
        <v>#REF!</v>
      </c>
      <c r="X205" t="e">
        <f t="shared" ca="1" si="43"/>
        <v>#REF!</v>
      </c>
      <c r="Z205" t="e">
        <f t="shared" ca="1" si="44"/>
        <v>#REF!</v>
      </c>
      <c r="AB205" t="e">
        <f t="shared" ca="1" si="52"/>
        <v>#REF!</v>
      </c>
      <c r="AD205" t="e">
        <f t="shared" ca="1" si="40"/>
        <v>#REF!</v>
      </c>
    </row>
    <row r="206" spans="1:30" ht="15" x14ac:dyDescent="0.25">
      <c r="A206" s="150">
        <v>199</v>
      </c>
      <c r="B206" s="150" t="str">
        <f t="shared" si="45"/>
        <v>GQ1</v>
      </c>
      <c r="D206" t="s">
        <v>416</v>
      </c>
      <c r="E206">
        <f t="shared" ca="1" si="46"/>
        <v>0</v>
      </c>
      <c r="F206" t="e">
        <f t="shared" ca="1" si="41"/>
        <v>#REF!</v>
      </c>
      <c r="G206" t="s">
        <v>417</v>
      </c>
      <c r="H206" t="s">
        <v>421</v>
      </c>
      <c r="I206" t="e">
        <f t="shared" ca="1" si="47"/>
        <v>#REF!</v>
      </c>
      <c r="J206" t="e">
        <f t="shared" ca="1" si="48"/>
        <v>#REF!</v>
      </c>
      <c r="K206" t="s">
        <v>431</v>
      </c>
      <c r="L206" s="150" t="s">
        <v>423</v>
      </c>
      <c r="M206" s="150" t="s">
        <v>435</v>
      </c>
      <c r="N206" t="e">
        <f t="shared" ca="1" si="49"/>
        <v>#REF!</v>
      </c>
      <c r="O206" s="150" t="s">
        <v>412</v>
      </c>
      <c r="P206" s="150" t="s">
        <v>428</v>
      </c>
      <c r="Q206" s="150" t="s">
        <v>399</v>
      </c>
      <c r="R206" t="e">
        <f t="shared" ca="1" si="50"/>
        <v>#REF!</v>
      </c>
      <c r="S206" t="s">
        <v>398</v>
      </c>
      <c r="T206" t="s">
        <v>448</v>
      </c>
      <c r="U206" t="str">
        <f t="shared" ca="1" si="42"/>
        <v>Sheets("Master Data").Range("0" &amp; RowNo).Value</v>
      </c>
      <c r="V206" t="e">
        <f t="shared" ca="1" si="51"/>
        <v>#REF!</v>
      </c>
      <c r="X206" t="e">
        <f t="shared" ca="1" si="43"/>
        <v>#REF!</v>
      </c>
      <c r="Z206" t="e">
        <f t="shared" ca="1" si="44"/>
        <v>#REF!</v>
      </c>
      <c r="AB206" t="e">
        <f t="shared" ca="1" si="52"/>
        <v>#REF!</v>
      </c>
      <c r="AD206" t="e">
        <f t="shared" ca="1" si="40"/>
        <v>#REF!</v>
      </c>
    </row>
    <row r="207" spans="1:30" ht="15" x14ac:dyDescent="0.25">
      <c r="A207" s="150">
        <v>200</v>
      </c>
      <c r="B207" s="150" t="str">
        <f t="shared" si="45"/>
        <v>GR1</v>
      </c>
      <c r="D207" t="s">
        <v>416</v>
      </c>
      <c r="E207">
        <f t="shared" ca="1" si="46"/>
        <v>0</v>
      </c>
      <c r="F207" t="e">
        <f t="shared" ca="1" si="41"/>
        <v>#REF!</v>
      </c>
      <c r="G207" t="s">
        <v>417</v>
      </c>
      <c r="H207" t="s">
        <v>421</v>
      </c>
      <c r="I207" t="e">
        <f t="shared" ca="1" si="47"/>
        <v>#REF!</v>
      </c>
      <c r="J207" t="e">
        <f t="shared" ca="1" si="48"/>
        <v>#REF!</v>
      </c>
      <c r="K207" t="s">
        <v>431</v>
      </c>
      <c r="L207" s="150" t="s">
        <v>423</v>
      </c>
      <c r="M207" s="150" t="s">
        <v>435</v>
      </c>
      <c r="N207" t="e">
        <f t="shared" ca="1" si="49"/>
        <v>#REF!</v>
      </c>
      <c r="O207" s="150" t="s">
        <v>412</v>
      </c>
      <c r="P207" s="150" t="s">
        <v>428</v>
      </c>
      <c r="Q207" s="150" t="s">
        <v>399</v>
      </c>
      <c r="R207" t="e">
        <f t="shared" ca="1" si="50"/>
        <v>#REF!</v>
      </c>
      <c r="S207" t="s">
        <v>398</v>
      </c>
      <c r="T207" t="s">
        <v>448</v>
      </c>
      <c r="U207" t="str">
        <f t="shared" ca="1" si="42"/>
        <v>Sheets("Master Data").Range("0" &amp; RowNo).Value</v>
      </c>
      <c r="V207" t="e">
        <f t="shared" ca="1" si="51"/>
        <v>#REF!</v>
      </c>
      <c r="X207" t="e">
        <f t="shared" ca="1" si="43"/>
        <v>#REF!</v>
      </c>
      <c r="Z207" t="e">
        <f t="shared" ca="1" si="44"/>
        <v>#REF!</v>
      </c>
      <c r="AB207" t="e">
        <f t="shared" ca="1" si="52"/>
        <v>#REF!</v>
      </c>
      <c r="AD207" t="e">
        <f t="shared" ca="1" si="40"/>
        <v>#REF!</v>
      </c>
    </row>
    <row r="208" spans="1:30" ht="15" x14ac:dyDescent="0.25">
      <c r="A208" s="150">
        <v>201</v>
      </c>
      <c r="B208" s="150" t="str">
        <f t="shared" si="45"/>
        <v>GS1</v>
      </c>
      <c r="D208" t="s">
        <v>416</v>
      </c>
      <c r="E208">
        <f t="shared" ca="1" si="46"/>
        <v>0</v>
      </c>
      <c r="F208" t="e">
        <f t="shared" ca="1" si="41"/>
        <v>#REF!</v>
      </c>
      <c r="G208" t="s">
        <v>417</v>
      </c>
      <c r="H208" t="s">
        <v>421</v>
      </c>
      <c r="I208" t="e">
        <f t="shared" ca="1" si="47"/>
        <v>#REF!</v>
      </c>
      <c r="J208" t="e">
        <f t="shared" ca="1" si="48"/>
        <v>#REF!</v>
      </c>
      <c r="K208" t="s">
        <v>431</v>
      </c>
      <c r="L208" s="150" t="s">
        <v>423</v>
      </c>
      <c r="M208" s="150" t="s">
        <v>435</v>
      </c>
      <c r="N208" t="e">
        <f t="shared" ca="1" si="49"/>
        <v>#REF!</v>
      </c>
      <c r="O208" s="150" t="s">
        <v>412</v>
      </c>
      <c r="P208" s="150" t="s">
        <v>428</v>
      </c>
      <c r="Q208" s="150" t="s">
        <v>399</v>
      </c>
      <c r="R208" t="e">
        <f t="shared" ca="1" si="50"/>
        <v>#REF!</v>
      </c>
      <c r="S208" t="s">
        <v>398</v>
      </c>
      <c r="T208" t="s">
        <v>448</v>
      </c>
      <c r="U208" t="str">
        <f t="shared" ca="1" si="42"/>
        <v>Sheets("Master Data").Range("0" &amp; RowNo).Value</v>
      </c>
      <c r="V208" t="e">
        <f t="shared" ca="1" si="51"/>
        <v>#REF!</v>
      </c>
      <c r="X208" t="e">
        <f t="shared" ca="1" si="43"/>
        <v>#REF!</v>
      </c>
      <c r="Z208" t="e">
        <f t="shared" ca="1" si="44"/>
        <v>#REF!</v>
      </c>
      <c r="AB208" t="e">
        <f t="shared" ca="1" si="52"/>
        <v>#REF!</v>
      </c>
      <c r="AD208" t="e">
        <f t="shared" ca="1" si="40"/>
        <v>#REF!</v>
      </c>
    </row>
    <row r="209" spans="1:30" ht="15" x14ac:dyDescent="0.25">
      <c r="A209" s="150">
        <v>202</v>
      </c>
      <c r="B209" s="150" t="str">
        <f t="shared" si="45"/>
        <v>GT1</v>
      </c>
      <c r="D209" t="s">
        <v>416</v>
      </c>
      <c r="E209">
        <f t="shared" ca="1" si="46"/>
        <v>0</v>
      </c>
      <c r="F209" t="e">
        <f t="shared" ca="1" si="41"/>
        <v>#REF!</v>
      </c>
      <c r="G209" t="s">
        <v>417</v>
      </c>
      <c r="H209" t="s">
        <v>421</v>
      </c>
      <c r="I209" t="e">
        <f t="shared" ca="1" si="47"/>
        <v>#REF!</v>
      </c>
      <c r="J209" t="e">
        <f t="shared" ca="1" si="48"/>
        <v>#REF!</v>
      </c>
      <c r="K209" t="s">
        <v>431</v>
      </c>
      <c r="L209" s="150" t="s">
        <v>423</v>
      </c>
      <c r="M209" s="150" t="s">
        <v>435</v>
      </c>
      <c r="N209" t="e">
        <f t="shared" ca="1" si="49"/>
        <v>#REF!</v>
      </c>
      <c r="O209" s="150" t="s">
        <v>412</v>
      </c>
      <c r="P209" s="150" t="s">
        <v>428</v>
      </c>
      <c r="Q209" s="150" t="s">
        <v>399</v>
      </c>
      <c r="R209" t="e">
        <f t="shared" ca="1" si="50"/>
        <v>#REF!</v>
      </c>
      <c r="S209" t="s">
        <v>398</v>
      </c>
      <c r="T209" t="s">
        <v>448</v>
      </c>
      <c r="U209" t="str">
        <f t="shared" ca="1" si="42"/>
        <v>Sheets("Master Data").Range("0" &amp; RowNo).Value</v>
      </c>
      <c r="V209" t="e">
        <f t="shared" ca="1" si="51"/>
        <v>#REF!</v>
      </c>
      <c r="X209" t="e">
        <f t="shared" ca="1" si="43"/>
        <v>#REF!</v>
      </c>
      <c r="Z209" t="e">
        <f t="shared" ca="1" si="44"/>
        <v>#REF!</v>
      </c>
      <c r="AB209" t="e">
        <f t="shared" ca="1" si="52"/>
        <v>#REF!</v>
      </c>
      <c r="AD209" t="e">
        <f t="shared" ref="AD209:AD272" ca="1" si="53">CONCATENATE(U209,O209,V209)</f>
        <v>#REF!</v>
      </c>
    </row>
    <row r="210" spans="1:30" ht="15" x14ac:dyDescent="0.25">
      <c r="A210" s="150">
        <v>203</v>
      </c>
      <c r="B210" s="150" t="str">
        <f t="shared" si="45"/>
        <v>GU1</v>
      </c>
      <c r="D210" t="s">
        <v>416</v>
      </c>
      <c r="E210">
        <f t="shared" ca="1" si="46"/>
        <v>0</v>
      </c>
      <c r="F210" t="e">
        <f t="shared" ca="1" si="41"/>
        <v>#REF!</v>
      </c>
      <c r="G210" t="s">
        <v>417</v>
      </c>
      <c r="H210" t="s">
        <v>421</v>
      </c>
      <c r="I210" t="e">
        <f t="shared" ca="1" si="47"/>
        <v>#REF!</v>
      </c>
      <c r="J210" t="e">
        <f t="shared" ca="1" si="48"/>
        <v>#REF!</v>
      </c>
      <c r="K210" t="s">
        <v>431</v>
      </c>
      <c r="L210" s="150" t="s">
        <v>423</v>
      </c>
      <c r="M210" s="150" t="s">
        <v>435</v>
      </c>
      <c r="N210" t="e">
        <f t="shared" ca="1" si="49"/>
        <v>#REF!</v>
      </c>
      <c r="O210" s="150" t="s">
        <v>412</v>
      </c>
      <c r="P210" s="150" t="s">
        <v>428</v>
      </c>
      <c r="Q210" s="150" t="s">
        <v>399</v>
      </c>
      <c r="R210" t="e">
        <f t="shared" ca="1" si="50"/>
        <v>#REF!</v>
      </c>
      <c r="S210" t="s">
        <v>398</v>
      </c>
      <c r="T210" t="s">
        <v>448</v>
      </c>
      <c r="U210" t="str">
        <f t="shared" ca="1" si="42"/>
        <v>Sheets("Master Data").Range("0" &amp; RowNo).Value</v>
      </c>
      <c r="V210" t="e">
        <f t="shared" ca="1" si="51"/>
        <v>#REF!</v>
      </c>
      <c r="X210" t="e">
        <f t="shared" ca="1" si="43"/>
        <v>#REF!</v>
      </c>
      <c r="Z210" t="e">
        <f t="shared" ca="1" si="44"/>
        <v>#REF!</v>
      </c>
      <c r="AB210" t="e">
        <f t="shared" ca="1" si="52"/>
        <v>#REF!</v>
      </c>
      <c r="AD210" t="e">
        <f t="shared" ca="1" si="53"/>
        <v>#REF!</v>
      </c>
    </row>
    <row r="211" spans="1:30" ht="15" x14ac:dyDescent="0.25">
      <c r="A211" s="150">
        <v>204</v>
      </c>
      <c r="B211" s="150" t="str">
        <f t="shared" si="45"/>
        <v>GV1</v>
      </c>
      <c r="D211" t="s">
        <v>416</v>
      </c>
      <c r="E211">
        <f t="shared" ca="1" si="46"/>
        <v>0</v>
      </c>
      <c r="F211" t="e">
        <f t="shared" ca="1" si="41"/>
        <v>#REF!</v>
      </c>
      <c r="G211" t="s">
        <v>417</v>
      </c>
      <c r="H211" t="s">
        <v>421</v>
      </c>
      <c r="I211" t="e">
        <f t="shared" ca="1" si="47"/>
        <v>#REF!</v>
      </c>
      <c r="J211" t="e">
        <f t="shared" ca="1" si="48"/>
        <v>#REF!</v>
      </c>
      <c r="K211" t="s">
        <v>431</v>
      </c>
      <c r="L211" s="150" t="s">
        <v>423</v>
      </c>
      <c r="M211" s="150" t="s">
        <v>435</v>
      </c>
      <c r="N211" t="e">
        <f t="shared" ca="1" si="49"/>
        <v>#REF!</v>
      </c>
      <c r="O211" s="150" t="s">
        <v>412</v>
      </c>
      <c r="P211" s="150" t="s">
        <v>428</v>
      </c>
      <c r="Q211" s="150" t="s">
        <v>399</v>
      </c>
      <c r="R211" t="e">
        <f t="shared" ca="1" si="50"/>
        <v>#REF!</v>
      </c>
      <c r="S211" t="s">
        <v>398</v>
      </c>
      <c r="T211" t="s">
        <v>448</v>
      </c>
      <c r="U211" t="str">
        <f t="shared" ca="1" si="42"/>
        <v>Sheets("Master Data").Range("0" &amp; RowNo).Value</v>
      </c>
      <c r="V211" t="e">
        <f t="shared" ca="1" si="51"/>
        <v>#REF!</v>
      </c>
      <c r="X211" t="e">
        <f t="shared" ca="1" si="43"/>
        <v>#REF!</v>
      </c>
      <c r="Z211" t="e">
        <f t="shared" ca="1" si="44"/>
        <v>#REF!</v>
      </c>
      <c r="AB211" t="e">
        <f t="shared" ca="1" si="52"/>
        <v>#REF!</v>
      </c>
      <c r="AD211" t="e">
        <f t="shared" ca="1" si="53"/>
        <v>#REF!</v>
      </c>
    </row>
    <row r="212" spans="1:30" ht="15" x14ac:dyDescent="0.25">
      <c r="A212" s="150">
        <v>205</v>
      </c>
      <c r="B212" s="150" t="str">
        <f t="shared" si="45"/>
        <v>GW1</v>
      </c>
      <c r="D212" t="s">
        <v>416</v>
      </c>
      <c r="E212">
        <f t="shared" ca="1" si="46"/>
        <v>0</v>
      </c>
      <c r="F212" t="e">
        <f t="shared" ref="F212:F275" ca="1" si="54">SUBSTITUTE(INDIRECT("'Master Data'!" &amp; E212 &amp; 4)," ","_")</f>
        <v>#REF!</v>
      </c>
      <c r="G212" t="s">
        <v>417</v>
      </c>
      <c r="H212" t="s">
        <v>421</v>
      </c>
      <c r="I212" t="e">
        <f t="shared" ca="1" si="47"/>
        <v>#REF!</v>
      </c>
      <c r="J212" t="e">
        <f t="shared" ca="1" si="48"/>
        <v>#REF!</v>
      </c>
      <c r="K212" t="s">
        <v>431</v>
      </c>
      <c r="L212" s="150" t="s">
        <v>423</v>
      </c>
      <c r="M212" s="150" t="s">
        <v>435</v>
      </c>
      <c r="N212" t="e">
        <f t="shared" ca="1" si="49"/>
        <v>#REF!</v>
      </c>
      <c r="O212" s="150" t="s">
        <v>412</v>
      </c>
      <c r="P212" s="150" t="s">
        <v>428</v>
      </c>
      <c r="Q212" s="150" t="s">
        <v>399</v>
      </c>
      <c r="R212" t="e">
        <f t="shared" ca="1" si="50"/>
        <v>#REF!</v>
      </c>
      <c r="S212" t="s">
        <v>398</v>
      </c>
      <c r="T212" t="s">
        <v>448</v>
      </c>
      <c r="U212" t="str">
        <f t="shared" ca="1" si="42"/>
        <v>Sheets("Master Data").Range("0" &amp; RowNo).Value</v>
      </c>
      <c r="V212" t="e">
        <f t="shared" ca="1" si="51"/>
        <v>#REF!</v>
      </c>
      <c r="X212" t="e">
        <f t="shared" ca="1" si="43"/>
        <v>#REF!</v>
      </c>
      <c r="Z212" t="e">
        <f t="shared" ca="1" si="44"/>
        <v>#REF!</v>
      </c>
      <c r="AB212" t="e">
        <f t="shared" ca="1" si="52"/>
        <v>#REF!</v>
      </c>
      <c r="AD212" t="e">
        <f t="shared" ca="1" si="53"/>
        <v>#REF!</v>
      </c>
    </row>
    <row r="213" spans="1:30" ht="15" x14ac:dyDescent="0.25">
      <c r="A213" s="150">
        <v>206</v>
      </c>
      <c r="B213" s="150" t="str">
        <f t="shared" si="45"/>
        <v>GX1</v>
      </c>
      <c r="D213" t="s">
        <v>416</v>
      </c>
      <c r="E213">
        <f t="shared" ca="1" si="46"/>
        <v>0</v>
      </c>
      <c r="F213" t="e">
        <f t="shared" ca="1" si="54"/>
        <v>#REF!</v>
      </c>
      <c r="G213" t="s">
        <v>417</v>
      </c>
      <c r="H213" t="s">
        <v>421</v>
      </c>
      <c r="I213" t="e">
        <f t="shared" ca="1" si="47"/>
        <v>#REF!</v>
      </c>
      <c r="J213" t="e">
        <f t="shared" ca="1" si="48"/>
        <v>#REF!</v>
      </c>
      <c r="K213" t="s">
        <v>431</v>
      </c>
      <c r="L213" s="150" t="s">
        <v>423</v>
      </c>
      <c r="M213" s="150" t="s">
        <v>435</v>
      </c>
      <c r="N213" t="e">
        <f t="shared" ca="1" si="49"/>
        <v>#REF!</v>
      </c>
      <c r="O213" s="150" t="s">
        <v>412</v>
      </c>
      <c r="P213" s="150" t="s">
        <v>428</v>
      </c>
      <c r="Q213" s="150" t="s">
        <v>399</v>
      </c>
      <c r="R213" t="e">
        <f t="shared" ca="1" si="50"/>
        <v>#REF!</v>
      </c>
      <c r="S213" t="s">
        <v>398</v>
      </c>
      <c r="T213" t="s">
        <v>448</v>
      </c>
      <c r="U213" t="str">
        <f t="shared" ca="1" si="42"/>
        <v>Sheets("Master Data").Range("0" &amp; RowNo).Value</v>
      </c>
      <c r="V213" t="e">
        <f t="shared" ca="1" si="51"/>
        <v>#REF!</v>
      </c>
      <c r="X213" t="e">
        <f t="shared" ca="1" si="43"/>
        <v>#REF!</v>
      </c>
      <c r="Z213" t="e">
        <f t="shared" ca="1" si="44"/>
        <v>#REF!</v>
      </c>
      <c r="AB213" t="e">
        <f t="shared" ca="1" si="52"/>
        <v>#REF!</v>
      </c>
      <c r="AD213" t="e">
        <f t="shared" ca="1" si="53"/>
        <v>#REF!</v>
      </c>
    </row>
    <row r="214" spans="1:30" ht="15" x14ac:dyDescent="0.25">
      <c r="A214" s="150">
        <v>207</v>
      </c>
      <c r="B214" s="150" t="str">
        <f t="shared" si="45"/>
        <v>GY1</v>
      </c>
      <c r="D214" t="s">
        <v>416</v>
      </c>
      <c r="E214">
        <f t="shared" ca="1" si="46"/>
        <v>0</v>
      </c>
      <c r="F214" t="e">
        <f t="shared" ca="1" si="54"/>
        <v>#REF!</v>
      </c>
      <c r="G214" t="s">
        <v>417</v>
      </c>
      <c r="H214" t="s">
        <v>421</v>
      </c>
      <c r="I214" t="e">
        <f t="shared" ca="1" si="47"/>
        <v>#REF!</v>
      </c>
      <c r="J214" t="e">
        <f t="shared" ca="1" si="48"/>
        <v>#REF!</v>
      </c>
      <c r="K214" t="s">
        <v>431</v>
      </c>
      <c r="L214" s="150" t="s">
        <v>423</v>
      </c>
      <c r="M214" s="150" t="s">
        <v>435</v>
      </c>
      <c r="N214" t="e">
        <f t="shared" ca="1" si="49"/>
        <v>#REF!</v>
      </c>
      <c r="O214" s="150" t="s">
        <v>412</v>
      </c>
      <c r="P214" s="150" t="s">
        <v>428</v>
      </c>
      <c r="Q214" s="150" t="s">
        <v>399</v>
      </c>
      <c r="R214" t="e">
        <f t="shared" ca="1" si="50"/>
        <v>#REF!</v>
      </c>
      <c r="S214" t="s">
        <v>398</v>
      </c>
      <c r="T214" t="s">
        <v>448</v>
      </c>
      <c r="U214" t="str">
        <f t="shared" ca="1" si="42"/>
        <v>Sheets("Master Data").Range("0" &amp; RowNo).Value</v>
      </c>
      <c r="V214" t="e">
        <f t="shared" ca="1" si="51"/>
        <v>#REF!</v>
      </c>
      <c r="X214" t="e">
        <f t="shared" ca="1" si="43"/>
        <v>#REF!</v>
      </c>
      <c r="Z214" t="e">
        <f t="shared" ca="1" si="44"/>
        <v>#REF!</v>
      </c>
      <c r="AB214" t="e">
        <f t="shared" ca="1" si="52"/>
        <v>#REF!</v>
      </c>
      <c r="AD214" t="e">
        <f t="shared" ca="1" si="53"/>
        <v>#REF!</v>
      </c>
    </row>
    <row r="215" spans="1:30" ht="15" x14ac:dyDescent="0.25">
      <c r="A215" s="150">
        <v>208</v>
      </c>
      <c r="B215" s="150" t="str">
        <f t="shared" si="45"/>
        <v>GZ1</v>
      </c>
      <c r="D215" t="s">
        <v>416</v>
      </c>
      <c r="E215">
        <f t="shared" ca="1" si="46"/>
        <v>0</v>
      </c>
      <c r="F215" t="e">
        <f t="shared" ca="1" si="54"/>
        <v>#REF!</v>
      </c>
      <c r="G215" t="s">
        <v>417</v>
      </c>
      <c r="H215" t="s">
        <v>421</v>
      </c>
      <c r="I215" t="e">
        <f t="shared" ca="1" si="47"/>
        <v>#REF!</v>
      </c>
      <c r="J215" t="e">
        <f t="shared" ca="1" si="48"/>
        <v>#REF!</v>
      </c>
      <c r="K215" t="s">
        <v>431</v>
      </c>
      <c r="L215" s="150" t="s">
        <v>423</v>
      </c>
      <c r="M215" s="150" t="s">
        <v>435</v>
      </c>
      <c r="N215" t="e">
        <f t="shared" ca="1" si="49"/>
        <v>#REF!</v>
      </c>
      <c r="O215" s="150" t="s">
        <v>412</v>
      </c>
      <c r="P215" s="150" t="s">
        <v>428</v>
      </c>
      <c r="Q215" s="150" t="s">
        <v>399</v>
      </c>
      <c r="R215" t="e">
        <f t="shared" ca="1" si="50"/>
        <v>#REF!</v>
      </c>
      <c r="S215" t="s">
        <v>398</v>
      </c>
      <c r="T215" t="s">
        <v>448</v>
      </c>
      <c r="U215" t="str">
        <f t="shared" ca="1" si="42"/>
        <v>Sheets("Master Data").Range("0" &amp; RowNo).Value</v>
      </c>
      <c r="V215" t="e">
        <f t="shared" ca="1" si="51"/>
        <v>#REF!</v>
      </c>
      <c r="X215" t="e">
        <f t="shared" ca="1" si="43"/>
        <v>#REF!</v>
      </c>
      <c r="Z215" t="e">
        <f t="shared" ca="1" si="44"/>
        <v>#REF!</v>
      </c>
      <c r="AB215" t="e">
        <f t="shared" ca="1" si="52"/>
        <v>#REF!</v>
      </c>
      <c r="AD215" t="e">
        <f t="shared" ca="1" si="53"/>
        <v>#REF!</v>
      </c>
    </row>
    <row r="216" spans="1:30" ht="15" x14ac:dyDescent="0.25">
      <c r="A216" s="150">
        <v>209</v>
      </c>
      <c r="B216" s="150" t="str">
        <f t="shared" si="45"/>
        <v>HA1</v>
      </c>
      <c r="D216" t="s">
        <v>416</v>
      </c>
      <c r="E216">
        <f t="shared" ca="1" si="46"/>
        <v>0</v>
      </c>
      <c r="F216" t="e">
        <f t="shared" ca="1" si="54"/>
        <v>#REF!</v>
      </c>
      <c r="G216" t="s">
        <v>417</v>
      </c>
      <c r="H216" t="s">
        <v>421</v>
      </c>
      <c r="I216" t="e">
        <f t="shared" ca="1" si="47"/>
        <v>#REF!</v>
      </c>
      <c r="J216" t="e">
        <f t="shared" ca="1" si="48"/>
        <v>#REF!</v>
      </c>
      <c r="K216" t="s">
        <v>431</v>
      </c>
      <c r="L216" s="150" t="s">
        <v>423</v>
      </c>
      <c r="M216" s="150" t="s">
        <v>435</v>
      </c>
      <c r="N216" t="e">
        <f t="shared" ca="1" si="49"/>
        <v>#REF!</v>
      </c>
      <c r="O216" s="150" t="s">
        <v>412</v>
      </c>
      <c r="P216" s="150" t="s">
        <v>428</v>
      </c>
      <c r="Q216" s="150" t="s">
        <v>399</v>
      </c>
      <c r="R216" t="e">
        <f t="shared" ca="1" si="50"/>
        <v>#REF!</v>
      </c>
      <c r="S216" t="s">
        <v>398</v>
      </c>
      <c r="T216" t="s">
        <v>448</v>
      </c>
      <c r="U216" t="str">
        <f t="shared" ca="1" si="42"/>
        <v>Sheets("Master Data").Range("0" &amp; RowNo).Value</v>
      </c>
      <c r="V216" t="e">
        <f t="shared" ca="1" si="51"/>
        <v>#REF!</v>
      </c>
      <c r="X216" t="e">
        <f t="shared" ca="1" si="43"/>
        <v>#REF!</v>
      </c>
      <c r="Z216" t="e">
        <f t="shared" ca="1" si="44"/>
        <v>#REF!</v>
      </c>
      <c r="AB216" t="e">
        <f t="shared" ca="1" si="52"/>
        <v>#REF!</v>
      </c>
      <c r="AD216" t="e">
        <f t="shared" ca="1" si="53"/>
        <v>#REF!</v>
      </c>
    </row>
    <row r="217" spans="1:30" ht="15" x14ac:dyDescent="0.25">
      <c r="A217" s="150">
        <v>210</v>
      </c>
      <c r="B217" s="150" t="str">
        <f t="shared" si="45"/>
        <v>HB1</v>
      </c>
      <c r="D217" t="s">
        <v>416</v>
      </c>
      <c r="E217">
        <f t="shared" ca="1" si="46"/>
        <v>0</v>
      </c>
      <c r="F217" t="e">
        <f t="shared" ca="1" si="54"/>
        <v>#REF!</v>
      </c>
      <c r="G217" t="s">
        <v>417</v>
      </c>
      <c r="H217" t="s">
        <v>421</v>
      </c>
      <c r="I217" t="e">
        <f t="shared" ca="1" si="47"/>
        <v>#REF!</v>
      </c>
      <c r="J217" t="e">
        <f t="shared" ca="1" si="48"/>
        <v>#REF!</v>
      </c>
      <c r="K217" t="s">
        <v>431</v>
      </c>
      <c r="L217" s="150" t="s">
        <v>423</v>
      </c>
      <c r="M217" s="150" t="s">
        <v>435</v>
      </c>
      <c r="N217" t="e">
        <f t="shared" ca="1" si="49"/>
        <v>#REF!</v>
      </c>
      <c r="O217" s="150" t="s">
        <v>412</v>
      </c>
      <c r="P217" s="150" t="s">
        <v>428</v>
      </c>
      <c r="Q217" s="150" t="s">
        <v>399</v>
      </c>
      <c r="R217" t="e">
        <f t="shared" ca="1" si="50"/>
        <v>#REF!</v>
      </c>
      <c r="S217" t="s">
        <v>398</v>
      </c>
      <c r="T217" t="s">
        <v>448</v>
      </c>
      <c r="U217" t="str">
        <f t="shared" ca="1" si="42"/>
        <v>Sheets("Master Data").Range("0" &amp; RowNo).Value</v>
      </c>
      <c r="V217" t="e">
        <f t="shared" ca="1" si="51"/>
        <v>#REF!</v>
      </c>
      <c r="X217" t="e">
        <f t="shared" ca="1" si="43"/>
        <v>#REF!</v>
      </c>
      <c r="Z217" t="e">
        <f t="shared" ca="1" si="44"/>
        <v>#REF!</v>
      </c>
      <c r="AB217" t="e">
        <f t="shared" ca="1" si="52"/>
        <v>#REF!</v>
      </c>
      <c r="AD217" t="e">
        <f t="shared" ca="1" si="53"/>
        <v>#REF!</v>
      </c>
    </row>
    <row r="218" spans="1:30" ht="15" x14ac:dyDescent="0.25">
      <c r="A218" s="150">
        <v>211</v>
      </c>
      <c r="B218" s="150" t="str">
        <f t="shared" si="45"/>
        <v>HC1</v>
      </c>
      <c r="D218" t="s">
        <v>416</v>
      </c>
      <c r="E218">
        <f t="shared" ca="1" si="46"/>
        <v>0</v>
      </c>
      <c r="F218" t="e">
        <f t="shared" ca="1" si="54"/>
        <v>#REF!</v>
      </c>
      <c r="G218" t="s">
        <v>417</v>
      </c>
      <c r="H218" t="s">
        <v>421</v>
      </c>
      <c r="I218" t="e">
        <f t="shared" ca="1" si="47"/>
        <v>#REF!</v>
      </c>
      <c r="J218" t="e">
        <f t="shared" ca="1" si="48"/>
        <v>#REF!</v>
      </c>
      <c r="K218" t="s">
        <v>431</v>
      </c>
      <c r="L218" s="150" t="s">
        <v>423</v>
      </c>
      <c r="M218" s="150" t="s">
        <v>435</v>
      </c>
      <c r="N218" t="e">
        <f t="shared" ca="1" si="49"/>
        <v>#REF!</v>
      </c>
      <c r="O218" s="150" t="s">
        <v>412</v>
      </c>
      <c r="P218" s="150" t="s">
        <v>428</v>
      </c>
      <c r="Q218" s="150" t="s">
        <v>399</v>
      </c>
      <c r="R218" t="e">
        <f t="shared" ca="1" si="50"/>
        <v>#REF!</v>
      </c>
      <c r="S218" t="s">
        <v>398</v>
      </c>
      <c r="T218" t="s">
        <v>448</v>
      </c>
      <c r="U218" t="str">
        <f t="shared" ca="1" si="42"/>
        <v>Sheets("Master Data").Range("0" &amp; RowNo).Value</v>
      </c>
      <c r="V218" t="e">
        <f t="shared" ca="1" si="51"/>
        <v>#REF!</v>
      </c>
      <c r="X218" t="e">
        <f t="shared" ca="1" si="43"/>
        <v>#REF!</v>
      </c>
      <c r="Z218" t="e">
        <f t="shared" ca="1" si="44"/>
        <v>#REF!</v>
      </c>
      <c r="AB218" t="e">
        <f t="shared" ca="1" si="52"/>
        <v>#REF!</v>
      </c>
      <c r="AD218" t="e">
        <f t="shared" ca="1" si="53"/>
        <v>#REF!</v>
      </c>
    </row>
    <row r="219" spans="1:30" ht="15" x14ac:dyDescent="0.25">
      <c r="A219" s="150">
        <v>212</v>
      </c>
      <c r="B219" s="150" t="str">
        <f t="shared" si="45"/>
        <v>HD1</v>
      </c>
      <c r="D219" t="s">
        <v>416</v>
      </c>
      <c r="E219">
        <f t="shared" ca="1" si="46"/>
        <v>0</v>
      </c>
      <c r="F219" t="e">
        <f t="shared" ca="1" si="54"/>
        <v>#REF!</v>
      </c>
      <c r="G219" t="s">
        <v>417</v>
      </c>
      <c r="H219" t="s">
        <v>421</v>
      </c>
      <c r="I219" t="e">
        <f t="shared" ca="1" si="47"/>
        <v>#REF!</v>
      </c>
      <c r="J219" t="e">
        <f t="shared" ca="1" si="48"/>
        <v>#REF!</v>
      </c>
      <c r="K219" t="s">
        <v>431</v>
      </c>
      <c r="L219" s="150" t="s">
        <v>423</v>
      </c>
      <c r="M219" s="150" t="s">
        <v>435</v>
      </c>
      <c r="N219" t="e">
        <f t="shared" ca="1" si="49"/>
        <v>#REF!</v>
      </c>
      <c r="O219" s="150" t="s">
        <v>412</v>
      </c>
      <c r="P219" s="150" t="s">
        <v>428</v>
      </c>
      <c r="Q219" s="150" t="s">
        <v>399</v>
      </c>
      <c r="R219" t="e">
        <f t="shared" ca="1" si="50"/>
        <v>#REF!</v>
      </c>
      <c r="S219" t="s">
        <v>398</v>
      </c>
      <c r="T219" t="s">
        <v>448</v>
      </c>
      <c r="U219" t="str">
        <f t="shared" ca="1" si="42"/>
        <v>Sheets("Master Data").Range("0" &amp; RowNo).Value</v>
      </c>
      <c r="V219" t="e">
        <f t="shared" ca="1" si="51"/>
        <v>#REF!</v>
      </c>
      <c r="X219" t="e">
        <f t="shared" ca="1" si="43"/>
        <v>#REF!</v>
      </c>
      <c r="Z219" t="e">
        <f t="shared" ca="1" si="44"/>
        <v>#REF!</v>
      </c>
      <c r="AB219" t="e">
        <f t="shared" ca="1" si="52"/>
        <v>#REF!</v>
      </c>
      <c r="AD219" t="e">
        <f t="shared" ca="1" si="53"/>
        <v>#REF!</v>
      </c>
    </row>
    <row r="220" spans="1:30" ht="15" x14ac:dyDescent="0.25">
      <c r="A220" s="150">
        <v>213</v>
      </c>
      <c r="B220" s="150" t="str">
        <f t="shared" si="45"/>
        <v>HE1</v>
      </c>
      <c r="D220" t="s">
        <v>416</v>
      </c>
      <c r="E220">
        <f t="shared" ca="1" si="46"/>
        <v>0</v>
      </c>
      <c r="F220" t="e">
        <f t="shared" ca="1" si="54"/>
        <v>#REF!</v>
      </c>
      <c r="G220" t="s">
        <v>417</v>
      </c>
      <c r="H220" t="s">
        <v>421</v>
      </c>
      <c r="I220" t="e">
        <f t="shared" ca="1" si="47"/>
        <v>#REF!</v>
      </c>
      <c r="J220" t="e">
        <f t="shared" ca="1" si="48"/>
        <v>#REF!</v>
      </c>
      <c r="K220" t="s">
        <v>431</v>
      </c>
      <c r="L220" s="150" t="s">
        <v>423</v>
      </c>
      <c r="M220" s="150" t="s">
        <v>435</v>
      </c>
      <c r="N220" t="e">
        <f t="shared" ca="1" si="49"/>
        <v>#REF!</v>
      </c>
      <c r="O220" s="150" t="s">
        <v>412</v>
      </c>
      <c r="P220" s="150" t="s">
        <v>428</v>
      </c>
      <c r="Q220" s="150" t="s">
        <v>399</v>
      </c>
      <c r="R220" t="e">
        <f t="shared" ca="1" si="50"/>
        <v>#REF!</v>
      </c>
      <c r="S220" t="s">
        <v>398</v>
      </c>
      <c r="T220" t="s">
        <v>448</v>
      </c>
      <c r="U220" t="str">
        <f t="shared" ca="1" si="42"/>
        <v>Sheets("Master Data").Range("0" &amp; RowNo).Value</v>
      </c>
      <c r="V220" t="e">
        <f t="shared" ca="1" si="51"/>
        <v>#REF!</v>
      </c>
      <c r="X220" t="e">
        <f t="shared" ca="1" si="43"/>
        <v>#REF!</v>
      </c>
      <c r="Z220" t="e">
        <f t="shared" ca="1" si="44"/>
        <v>#REF!</v>
      </c>
      <c r="AB220" t="e">
        <f t="shared" ca="1" si="52"/>
        <v>#REF!</v>
      </c>
      <c r="AD220" t="e">
        <f t="shared" ca="1" si="53"/>
        <v>#REF!</v>
      </c>
    </row>
    <row r="221" spans="1:30" ht="15" x14ac:dyDescent="0.25">
      <c r="A221" s="150">
        <v>214</v>
      </c>
      <c r="B221" s="150" t="str">
        <f t="shared" si="45"/>
        <v>HF1</v>
      </c>
      <c r="D221" t="s">
        <v>416</v>
      </c>
      <c r="E221">
        <f t="shared" ca="1" si="46"/>
        <v>0</v>
      </c>
      <c r="F221" t="e">
        <f t="shared" ca="1" si="54"/>
        <v>#REF!</v>
      </c>
      <c r="G221" t="s">
        <v>417</v>
      </c>
      <c r="H221" t="s">
        <v>421</v>
      </c>
      <c r="I221" t="e">
        <f t="shared" ca="1" si="47"/>
        <v>#REF!</v>
      </c>
      <c r="J221" t="e">
        <f t="shared" ca="1" si="48"/>
        <v>#REF!</v>
      </c>
      <c r="K221" t="s">
        <v>431</v>
      </c>
      <c r="L221" s="150" t="s">
        <v>423</v>
      </c>
      <c r="M221" s="150" t="s">
        <v>435</v>
      </c>
      <c r="N221" t="e">
        <f t="shared" ca="1" si="49"/>
        <v>#REF!</v>
      </c>
      <c r="O221" s="150" t="s">
        <v>412</v>
      </c>
      <c r="P221" s="150" t="s">
        <v>428</v>
      </c>
      <c r="Q221" s="150" t="s">
        <v>399</v>
      </c>
      <c r="R221" t="e">
        <f t="shared" ca="1" si="50"/>
        <v>#REF!</v>
      </c>
      <c r="S221" t="s">
        <v>398</v>
      </c>
      <c r="T221" t="s">
        <v>448</v>
      </c>
      <c r="U221" t="str">
        <f t="shared" ca="1" si="42"/>
        <v>Sheets("Master Data").Range("0" &amp; RowNo).Value</v>
      </c>
      <c r="V221" t="e">
        <f t="shared" ca="1" si="51"/>
        <v>#REF!</v>
      </c>
      <c r="X221" t="e">
        <f t="shared" ca="1" si="43"/>
        <v>#REF!</v>
      </c>
      <c r="Z221" t="e">
        <f t="shared" ca="1" si="44"/>
        <v>#REF!</v>
      </c>
      <c r="AB221" t="e">
        <f t="shared" ca="1" si="52"/>
        <v>#REF!</v>
      </c>
      <c r="AD221" t="e">
        <f t="shared" ca="1" si="53"/>
        <v>#REF!</v>
      </c>
    </row>
    <row r="222" spans="1:30" ht="15" x14ac:dyDescent="0.25">
      <c r="A222" s="150">
        <v>215</v>
      </c>
      <c r="B222" s="150" t="str">
        <f t="shared" si="45"/>
        <v>HG1</v>
      </c>
      <c r="D222" t="s">
        <v>416</v>
      </c>
      <c r="E222">
        <f t="shared" ca="1" si="46"/>
        <v>0</v>
      </c>
      <c r="F222" t="e">
        <f t="shared" ca="1" si="54"/>
        <v>#REF!</v>
      </c>
      <c r="G222" t="s">
        <v>417</v>
      </c>
      <c r="H222" t="s">
        <v>421</v>
      </c>
      <c r="I222" t="e">
        <f t="shared" ca="1" si="47"/>
        <v>#REF!</v>
      </c>
      <c r="J222" t="e">
        <f t="shared" ca="1" si="48"/>
        <v>#REF!</v>
      </c>
      <c r="K222" t="s">
        <v>431</v>
      </c>
      <c r="L222" s="150" t="s">
        <v>423</v>
      </c>
      <c r="M222" s="150" t="s">
        <v>435</v>
      </c>
      <c r="N222" t="e">
        <f t="shared" ca="1" si="49"/>
        <v>#REF!</v>
      </c>
      <c r="O222" s="150" t="s">
        <v>412</v>
      </c>
      <c r="P222" s="150" t="s">
        <v>428</v>
      </c>
      <c r="Q222" s="150" t="s">
        <v>399</v>
      </c>
      <c r="R222" t="e">
        <f t="shared" ca="1" si="50"/>
        <v>#REF!</v>
      </c>
      <c r="S222" t="s">
        <v>398</v>
      </c>
      <c r="T222" t="s">
        <v>448</v>
      </c>
      <c r="U222" t="str">
        <f t="shared" ca="1" si="42"/>
        <v>Sheets("Master Data").Range("0" &amp; RowNo).Value</v>
      </c>
      <c r="V222" t="e">
        <f t="shared" ca="1" si="51"/>
        <v>#REF!</v>
      </c>
      <c r="X222" t="e">
        <f t="shared" ca="1" si="43"/>
        <v>#REF!</v>
      </c>
      <c r="Z222" t="e">
        <f t="shared" ca="1" si="44"/>
        <v>#REF!</v>
      </c>
      <c r="AB222" t="e">
        <f t="shared" ca="1" si="52"/>
        <v>#REF!</v>
      </c>
      <c r="AD222" t="e">
        <f t="shared" ca="1" si="53"/>
        <v>#REF!</v>
      </c>
    </row>
    <row r="223" spans="1:30" ht="15" x14ac:dyDescent="0.25">
      <c r="A223" s="150">
        <v>216</v>
      </c>
      <c r="B223" s="150" t="str">
        <f t="shared" si="45"/>
        <v>HH1</v>
      </c>
      <c r="D223" t="s">
        <v>416</v>
      </c>
      <c r="E223">
        <f t="shared" ca="1" si="46"/>
        <v>0</v>
      </c>
      <c r="F223" t="e">
        <f t="shared" ca="1" si="54"/>
        <v>#REF!</v>
      </c>
      <c r="G223" t="s">
        <v>417</v>
      </c>
      <c r="H223" t="s">
        <v>421</v>
      </c>
      <c r="I223" t="e">
        <f t="shared" ca="1" si="47"/>
        <v>#REF!</v>
      </c>
      <c r="J223" t="e">
        <f t="shared" ca="1" si="48"/>
        <v>#REF!</v>
      </c>
      <c r="K223" t="s">
        <v>431</v>
      </c>
      <c r="L223" s="150" t="s">
        <v>423</v>
      </c>
      <c r="M223" s="150" t="s">
        <v>435</v>
      </c>
      <c r="N223" t="e">
        <f t="shared" ca="1" si="49"/>
        <v>#REF!</v>
      </c>
      <c r="O223" s="150" t="s">
        <v>412</v>
      </c>
      <c r="P223" s="150" t="s">
        <v>428</v>
      </c>
      <c r="Q223" s="150" t="s">
        <v>399</v>
      </c>
      <c r="R223" t="e">
        <f t="shared" ca="1" si="50"/>
        <v>#REF!</v>
      </c>
      <c r="S223" t="s">
        <v>398</v>
      </c>
      <c r="T223" t="s">
        <v>448</v>
      </c>
      <c r="U223" t="str">
        <f t="shared" ca="1" si="42"/>
        <v>Sheets("Master Data").Range("0" &amp; RowNo).Value</v>
      </c>
      <c r="V223" t="e">
        <f t="shared" ca="1" si="51"/>
        <v>#REF!</v>
      </c>
      <c r="X223" t="e">
        <f t="shared" ca="1" si="43"/>
        <v>#REF!</v>
      </c>
      <c r="Z223" t="e">
        <f t="shared" ca="1" si="44"/>
        <v>#REF!</v>
      </c>
      <c r="AB223" t="e">
        <f t="shared" ca="1" si="52"/>
        <v>#REF!</v>
      </c>
      <c r="AD223" t="e">
        <f t="shared" ca="1" si="53"/>
        <v>#REF!</v>
      </c>
    </row>
    <row r="224" spans="1:30" ht="15" x14ac:dyDescent="0.25">
      <c r="A224" s="150">
        <v>217</v>
      </c>
      <c r="B224" s="150" t="str">
        <f t="shared" si="45"/>
        <v>HI1</v>
      </c>
      <c r="D224" t="s">
        <v>416</v>
      </c>
      <c r="E224">
        <f t="shared" ca="1" si="46"/>
        <v>0</v>
      </c>
      <c r="F224" t="e">
        <f t="shared" ca="1" si="54"/>
        <v>#REF!</v>
      </c>
      <c r="G224" t="s">
        <v>417</v>
      </c>
      <c r="H224" t="s">
        <v>421</v>
      </c>
      <c r="I224" t="e">
        <f t="shared" ca="1" si="47"/>
        <v>#REF!</v>
      </c>
      <c r="J224" t="e">
        <f t="shared" ca="1" si="48"/>
        <v>#REF!</v>
      </c>
      <c r="K224" t="s">
        <v>431</v>
      </c>
      <c r="L224" s="150" t="s">
        <v>423</v>
      </c>
      <c r="M224" s="150" t="s">
        <v>435</v>
      </c>
      <c r="N224" t="e">
        <f t="shared" ca="1" si="49"/>
        <v>#REF!</v>
      </c>
      <c r="O224" s="150" t="s">
        <v>412</v>
      </c>
      <c r="P224" s="150" t="s">
        <v>428</v>
      </c>
      <c r="Q224" s="150" t="s">
        <v>399</v>
      </c>
      <c r="R224" t="e">
        <f t="shared" ca="1" si="50"/>
        <v>#REF!</v>
      </c>
      <c r="S224" t="s">
        <v>398</v>
      </c>
      <c r="T224" t="s">
        <v>448</v>
      </c>
      <c r="U224" t="str">
        <f t="shared" ca="1" si="42"/>
        <v>Sheets("Master Data").Range("0" &amp; RowNo).Value</v>
      </c>
      <c r="V224" t="e">
        <f t="shared" ca="1" si="51"/>
        <v>#REF!</v>
      </c>
      <c r="X224" t="e">
        <f t="shared" ca="1" si="43"/>
        <v>#REF!</v>
      </c>
      <c r="Z224" t="e">
        <f t="shared" ca="1" si="44"/>
        <v>#REF!</v>
      </c>
      <c r="AB224" t="e">
        <f t="shared" ca="1" si="52"/>
        <v>#REF!</v>
      </c>
      <c r="AD224" t="e">
        <f t="shared" ca="1" si="53"/>
        <v>#REF!</v>
      </c>
    </row>
    <row r="225" spans="1:30" ht="15" x14ac:dyDescent="0.25">
      <c r="A225" s="150">
        <v>218</v>
      </c>
      <c r="B225" s="150" t="str">
        <f t="shared" si="45"/>
        <v>HJ1</v>
      </c>
      <c r="D225" t="s">
        <v>416</v>
      </c>
      <c r="E225">
        <f t="shared" ca="1" si="46"/>
        <v>0</v>
      </c>
      <c r="F225" t="e">
        <f t="shared" ca="1" si="54"/>
        <v>#REF!</v>
      </c>
      <c r="G225" t="s">
        <v>417</v>
      </c>
      <c r="H225" t="s">
        <v>421</v>
      </c>
      <c r="I225" t="e">
        <f t="shared" ca="1" si="47"/>
        <v>#REF!</v>
      </c>
      <c r="J225" t="e">
        <f t="shared" ca="1" si="48"/>
        <v>#REF!</v>
      </c>
      <c r="K225" t="s">
        <v>431</v>
      </c>
      <c r="L225" s="150" t="s">
        <v>423</v>
      </c>
      <c r="M225" s="150" t="s">
        <v>435</v>
      </c>
      <c r="N225" t="e">
        <f t="shared" ca="1" si="49"/>
        <v>#REF!</v>
      </c>
      <c r="O225" s="150" t="s">
        <v>412</v>
      </c>
      <c r="P225" s="150" t="s">
        <v>428</v>
      </c>
      <c r="Q225" s="150" t="s">
        <v>399</v>
      </c>
      <c r="R225" t="e">
        <f t="shared" ca="1" si="50"/>
        <v>#REF!</v>
      </c>
      <c r="S225" t="s">
        <v>398</v>
      </c>
      <c r="T225" t="s">
        <v>448</v>
      </c>
      <c r="U225" t="str">
        <f t="shared" ca="1" si="42"/>
        <v>Sheets("Master Data").Range("0" &amp; RowNo).Value</v>
      </c>
      <c r="V225" t="e">
        <f t="shared" ca="1" si="51"/>
        <v>#REF!</v>
      </c>
      <c r="X225" t="e">
        <f t="shared" ca="1" si="43"/>
        <v>#REF!</v>
      </c>
      <c r="Z225" t="e">
        <f t="shared" ca="1" si="44"/>
        <v>#REF!</v>
      </c>
      <c r="AB225" t="e">
        <f t="shared" ca="1" si="52"/>
        <v>#REF!</v>
      </c>
      <c r="AD225" t="e">
        <f t="shared" ca="1" si="53"/>
        <v>#REF!</v>
      </c>
    </row>
    <row r="226" spans="1:30" ht="15" x14ac:dyDescent="0.25">
      <c r="A226" s="150">
        <v>219</v>
      </c>
      <c r="B226" s="150" t="str">
        <f t="shared" si="45"/>
        <v>HK1</v>
      </c>
      <c r="D226" t="s">
        <v>416</v>
      </c>
      <c r="E226">
        <f t="shared" ca="1" si="46"/>
        <v>0</v>
      </c>
      <c r="F226" t="e">
        <f t="shared" ca="1" si="54"/>
        <v>#REF!</v>
      </c>
      <c r="G226" t="s">
        <v>417</v>
      </c>
      <c r="H226" t="s">
        <v>421</v>
      </c>
      <c r="I226" t="e">
        <f t="shared" ca="1" si="47"/>
        <v>#REF!</v>
      </c>
      <c r="J226" t="e">
        <f t="shared" ca="1" si="48"/>
        <v>#REF!</v>
      </c>
      <c r="K226" t="s">
        <v>431</v>
      </c>
      <c r="L226" s="150" t="s">
        <v>423</v>
      </c>
      <c r="M226" s="150" t="s">
        <v>435</v>
      </c>
      <c r="N226" t="e">
        <f t="shared" ca="1" si="49"/>
        <v>#REF!</v>
      </c>
      <c r="O226" s="150" t="s">
        <v>412</v>
      </c>
      <c r="P226" s="150" t="s">
        <v>428</v>
      </c>
      <c r="Q226" s="150" t="s">
        <v>399</v>
      </c>
      <c r="R226" t="e">
        <f t="shared" ca="1" si="50"/>
        <v>#REF!</v>
      </c>
      <c r="S226" t="s">
        <v>398</v>
      </c>
      <c r="T226" t="s">
        <v>448</v>
      </c>
      <c r="U226" t="str">
        <f t="shared" ca="1" si="42"/>
        <v>Sheets("Master Data").Range("0" &amp; RowNo).Value</v>
      </c>
      <c r="V226" t="e">
        <f t="shared" ca="1" si="51"/>
        <v>#REF!</v>
      </c>
      <c r="X226" t="e">
        <f t="shared" ca="1" si="43"/>
        <v>#REF!</v>
      </c>
      <c r="Z226" t="e">
        <f t="shared" ca="1" si="44"/>
        <v>#REF!</v>
      </c>
      <c r="AB226" t="e">
        <f t="shared" ca="1" si="52"/>
        <v>#REF!</v>
      </c>
      <c r="AD226" t="e">
        <f t="shared" ca="1" si="53"/>
        <v>#REF!</v>
      </c>
    </row>
    <row r="227" spans="1:30" ht="15" x14ac:dyDescent="0.25">
      <c r="A227" s="150">
        <v>220</v>
      </c>
      <c r="B227" s="150" t="str">
        <f t="shared" si="45"/>
        <v>HL1</v>
      </c>
      <c r="D227" t="s">
        <v>416</v>
      </c>
      <c r="E227">
        <f t="shared" ca="1" si="46"/>
        <v>0</v>
      </c>
      <c r="F227" t="e">
        <f t="shared" ca="1" si="54"/>
        <v>#REF!</v>
      </c>
      <c r="G227" t="s">
        <v>417</v>
      </c>
      <c r="H227" t="s">
        <v>421</v>
      </c>
      <c r="I227" t="e">
        <f t="shared" ca="1" si="47"/>
        <v>#REF!</v>
      </c>
      <c r="J227" t="e">
        <f t="shared" ca="1" si="48"/>
        <v>#REF!</v>
      </c>
      <c r="K227" t="s">
        <v>431</v>
      </c>
      <c r="L227" s="150" t="s">
        <v>423</v>
      </c>
      <c r="M227" s="150" t="s">
        <v>435</v>
      </c>
      <c r="N227" t="e">
        <f t="shared" ca="1" si="49"/>
        <v>#REF!</v>
      </c>
      <c r="O227" s="150" t="s">
        <v>412</v>
      </c>
      <c r="P227" s="150" t="s">
        <v>428</v>
      </c>
      <c r="Q227" s="150" t="s">
        <v>399</v>
      </c>
      <c r="R227" t="e">
        <f t="shared" ca="1" si="50"/>
        <v>#REF!</v>
      </c>
      <c r="S227" t="s">
        <v>398</v>
      </c>
      <c r="T227" t="s">
        <v>448</v>
      </c>
      <c r="U227" t="str">
        <f t="shared" ca="1" si="42"/>
        <v>Sheets("Master Data").Range("0" &amp; RowNo).Value</v>
      </c>
      <c r="V227" t="e">
        <f t="shared" ca="1" si="51"/>
        <v>#REF!</v>
      </c>
      <c r="X227" t="e">
        <f t="shared" ca="1" si="43"/>
        <v>#REF!</v>
      </c>
      <c r="Z227" t="e">
        <f t="shared" ca="1" si="44"/>
        <v>#REF!</v>
      </c>
      <c r="AB227" t="e">
        <f t="shared" ca="1" si="52"/>
        <v>#REF!</v>
      </c>
      <c r="AD227" t="e">
        <f t="shared" ca="1" si="53"/>
        <v>#REF!</v>
      </c>
    </row>
    <row r="228" spans="1:30" ht="15" x14ac:dyDescent="0.25">
      <c r="A228" s="150">
        <v>221</v>
      </c>
      <c r="B228" s="150" t="str">
        <f t="shared" si="45"/>
        <v>HM1</v>
      </c>
      <c r="D228" t="s">
        <v>416</v>
      </c>
      <c r="E228">
        <f t="shared" ca="1" si="46"/>
        <v>0</v>
      </c>
      <c r="F228" t="e">
        <f t="shared" ca="1" si="54"/>
        <v>#REF!</v>
      </c>
      <c r="G228" t="s">
        <v>417</v>
      </c>
      <c r="H228" t="s">
        <v>421</v>
      </c>
      <c r="I228" t="e">
        <f t="shared" ca="1" si="47"/>
        <v>#REF!</v>
      </c>
      <c r="J228" t="e">
        <f t="shared" ca="1" si="48"/>
        <v>#REF!</v>
      </c>
      <c r="K228" t="s">
        <v>431</v>
      </c>
      <c r="L228" s="150" t="s">
        <v>423</v>
      </c>
      <c r="M228" s="150" t="s">
        <v>435</v>
      </c>
      <c r="N228" t="e">
        <f t="shared" ca="1" si="49"/>
        <v>#REF!</v>
      </c>
      <c r="O228" s="150" t="s">
        <v>412</v>
      </c>
      <c r="P228" s="150" t="s">
        <v>428</v>
      </c>
      <c r="Q228" s="150" t="s">
        <v>399</v>
      </c>
      <c r="R228" t="e">
        <f t="shared" ca="1" si="50"/>
        <v>#REF!</v>
      </c>
      <c r="S228" t="s">
        <v>398</v>
      </c>
      <c r="T228" t="s">
        <v>448</v>
      </c>
      <c r="U228" t="str">
        <f t="shared" ca="1" si="42"/>
        <v>Sheets("Master Data").Range("0" &amp; RowNo).Value</v>
      </c>
      <c r="V228" t="e">
        <f t="shared" ca="1" si="51"/>
        <v>#REF!</v>
      </c>
      <c r="X228" t="e">
        <f t="shared" ca="1" si="43"/>
        <v>#REF!</v>
      </c>
      <c r="Z228" t="e">
        <f t="shared" ca="1" si="44"/>
        <v>#REF!</v>
      </c>
      <c r="AB228" t="e">
        <f t="shared" ca="1" si="52"/>
        <v>#REF!</v>
      </c>
      <c r="AD228" t="e">
        <f t="shared" ca="1" si="53"/>
        <v>#REF!</v>
      </c>
    </row>
    <row r="229" spans="1:30" ht="15" x14ac:dyDescent="0.25">
      <c r="A229" s="150">
        <v>222</v>
      </c>
      <c r="B229" s="150" t="str">
        <f t="shared" si="45"/>
        <v>HN1</v>
      </c>
      <c r="D229" t="s">
        <v>416</v>
      </c>
      <c r="E229">
        <f t="shared" ca="1" si="46"/>
        <v>0</v>
      </c>
      <c r="F229" t="e">
        <f t="shared" ca="1" si="54"/>
        <v>#REF!</v>
      </c>
      <c r="G229" t="s">
        <v>417</v>
      </c>
      <c r="H229" t="s">
        <v>421</v>
      </c>
      <c r="I229" t="e">
        <f t="shared" ca="1" si="47"/>
        <v>#REF!</v>
      </c>
      <c r="J229" t="e">
        <f t="shared" ca="1" si="48"/>
        <v>#REF!</v>
      </c>
      <c r="K229" t="s">
        <v>431</v>
      </c>
      <c r="L229" s="150" t="s">
        <v>423</v>
      </c>
      <c r="M229" s="150" t="s">
        <v>435</v>
      </c>
      <c r="N229" t="e">
        <f t="shared" ca="1" si="49"/>
        <v>#REF!</v>
      </c>
      <c r="O229" s="150" t="s">
        <v>412</v>
      </c>
      <c r="P229" s="150" t="s">
        <v>428</v>
      </c>
      <c r="Q229" s="150" t="s">
        <v>399</v>
      </c>
      <c r="R229" t="e">
        <f t="shared" ca="1" si="50"/>
        <v>#REF!</v>
      </c>
      <c r="S229" t="s">
        <v>398</v>
      </c>
      <c r="T229" t="s">
        <v>448</v>
      </c>
      <c r="U229" t="str">
        <f t="shared" ca="1" si="42"/>
        <v>Sheets("Master Data").Range("0" &amp; RowNo).Value</v>
      </c>
      <c r="V229" t="e">
        <f t="shared" ca="1" si="51"/>
        <v>#REF!</v>
      </c>
      <c r="X229" t="e">
        <f t="shared" ca="1" si="43"/>
        <v>#REF!</v>
      </c>
      <c r="Z229" t="e">
        <f t="shared" ca="1" si="44"/>
        <v>#REF!</v>
      </c>
      <c r="AB229" t="e">
        <f t="shared" ca="1" si="52"/>
        <v>#REF!</v>
      </c>
      <c r="AD229" t="e">
        <f t="shared" ca="1" si="53"/>
        <v>#REF!</v>
      </c>
    </row>
    <row r="230" spans="1:30" ht="15" x14ac:dyDescent="0.25">
      <c r="A230" s="150">
        <v>223</v>
      </c>
      <c r="B230" s="150" t="str">
        <f t="shared" si="45"/>
        <v>HO1</v>
      </c>
      <c r="D230" t="s">
        <v>416</v>
      </c>
      <c r="E230">
        <f t="shared" ca="1" si="46"/>
        <v>0</v>
      </c>
      <c r="F230" t="e">
        <f t="shared" ca="1" si="54"/>
        <v>#REF!</v>
      </c>
      <c r="G230" t="s">
        <v>417</v>
      </c>
      <c r="H230" t="s">
        <v>421</v>
      </c>
      <c r="I230" t="e">
        <f t="shared" ca="1" si="47"/>
        <v>#REF!</v>
      </c>
      <c r="J230" t="e">
        <f t="shared" ca="1" si="48"/>
        <v>#REF!</v>
      </c>
      <c r="K230" t="s">
        <v>431</v>
      </c>
      <c r="L230" s="150" t="s">
        <v>423</v>
      </c>
      <c r="M230" s="150" t="s">
        <v>435</v>
      </c>
      <c r="N230" t="e">
        <f t="shared" ca="1" si="49"/>
        <v>#REF!</v>
      </c>
      <c r="O230" s="150" t="s">
        <v>412</v>
      </c>
      <c r="P230" s="150" t="s">
        <v>428</v>
      </c>
      <c r="Q230" s="150" t="s">
        <v>399</v>
      </c>
      <c r="R230" t="e">
        <f t="shared" ca="1" si="50"/>
        <v>#REF!</v>
      </c>
      <c r="S230" t="s">
        <v>398</v>
      </c>
      <c r="T230" t="s">
        <v>448</v>
      </c>
      <c r="U230" t="str">
        <f t="shared" ca="1" si="42"/>
        <v>Sheets("Master Data").Range("0" &amp; RowNo).Value</v>
      </c>
      <c r="V230" t="e">
        <f t="shared" ca="1" si="51"/>
        <v>#REF!</v>
      </c>
      <c r="X230" t="e">
        <f t="shared" ca="1" si="43"/>
        <v>#REF!</v>
      </c>
      <c r="Z230" t="e">
        <f t="shared" ca="1" si="44"/>
        <v>#REF!</v>
      </c>
      <c r="AB230" t="e">
        <f t="shared" ca="1" si="52"/>
        <v>#REF!</v>
      </c>
      <c r="AD230" t="e">
        <f t="shared" ca="1" si="53"/>
        <v>#REF!</v>
      </c>
    </row>
    <row r="231" spans="1:30" ht="15" x14ac:dyDescent="0.25">
      <c r="A231" s="150">
        <v>224</v>
      </c>
      <c r="B231" s="150" t="str">
        <f t="shared" si="45"/>
        <v>HP1</v>
      </c>
      <c r="D231" t="s">
        <v>416</v>
      </c>
      <c r="E231">
        <f t="shared" ca="1" si="46"/>
        <v>0</v>
      </c>
      <c r="F231" t="e">
        <f t="shared" ca="1" si="54"/>
        <v>#REF!</v>
      </c>
      <c r="G231" t="s">
        <v>417</v>
      </c>
      <c r="H231" t="s">
        <v>421</v>
      </c>
      <c r="I231" t="e">
        <f t="shared" ca="1" si="47"/>
        <v>#REF!</v>
      </c>
      <c r="J231" t="e">
        <f t="shared" ca="1" si="48"/>
        <v>#REF!</v>
      </c>
      <c r="K231" t="s">
        <v>431</v>
      </c>
      <c r="L231" s="150" t="s">
        <v>423</v>
      </c>
      <c r="M231" s="150" t="s">
        <v>435</v>
      </c>
      <c r="N231" t="e">
        <f t="shared" ca="1" si="49"/>
        <v>#REF!</v>
      </c>
      <c r="O231" s="150" t="s">
        <v>412</v>
      </c>
      <c r="P231" s="150" t="s">
        <v>428</v>
      </c>
      <c r="Q231" s="150" t="s">
        <v>399</v>
      </c>
      <c r="R231" t="e">
        <f t="shared" ca="1" si="50"/>
        <v>#REF!</v>
      </c>
      <c r="S231" t="s">
        <v>398</v>
      </c>
      <c r="T231" t="s">
        <v>448</v>
      </c>
      <c r="U231" t="str">
        <f t="shared" ca="1" si="42"/>
        <v>Sheets("Master Data").Range("0" &amp; RowNo).Value</v>
      </c>
      <c r="V231" t="e">
        <f t="shared" ca="1" si="51"/>
        <v>#REF!</v>
      </c>
      <c r="X231" t="e">
        <f t="shared" ca="1" si="43"/>
        <v>#REF!</v>
      </c>
      <c r="Z231" t="e">
        <f t="shared" ca="1" si="44"/>
        <v>#REF!</v>
      </c>
      <c r="AB231" t="e">
        <f t="shared" ca="1" si="52"/>
        <v>#REF!</v>
      </c>
      <c r="AD231" t="e">
        <f t="shared" ca="1" si="53"/>
        <v>#REF!</v>
      </c>
    </row>
    <row r="232" spans="1:30" ht="15" x14ac:dyDescent="0.25">
      <c r="A232" s="150">
        <v>225</v>
      </c>
      <c r="B232" s="150" t="str">
        <f t="shared" si="45"/>
        <v>HQ1</v>
      </c>
      <c r="D232" t="s">
        <v>416</v>
      </c>
      <c r="E232">
        <f t="shared" ca="1" si="46"/>
        <v>0</v>
      </c>
      <c r="F232" t="e">
        <f t="shared" ca="1" si="54"/>
        <v>#REF!</v>
      </c>
      <c r="G232" t="s">
        <v>417</v>
      </c>
      <c r="H232" t="s">
        <v>421</v>
      </c>
      <c r="I232" t="e">
        <f t="shared" ca="1" si="47"/>
        <v>#REF!</v>
      </c>
      <c r="J232" t="e">
        <f t="shared" ca="1" si="48"/>
        <v>#REF!</v>
      </c>
      <c r="K232" t="s">
        <v>431</v>
      </c>
      <c r="L232" s="150" t="s">
        <v>423</v>
      </c>
      <c r="M232" s="150" t="s">
        <v>435</v>
      </c>
      <c r="N232" t="e">
        <f t="shared" ca="1" si="49"/>
        <v>#REF!</v>
      </c>
      <c r="O232" s="150" t="s">
        <v>412</v>
      </c>
      <c r="P232" s="150" t="s">
        <v>428</v>
      </c>
      <c r="Q232" s="150" t="s">
        <v>399</v>
      </c>
      <c r="R232" t="e">
        <f t="shared" ca="1" si="50"/>
        <v>#REF!</v>
      </c>
      <c r="S232" t="s">
        <v>398</v>
      </c>
      <c r="T232" t="s">
        <v>448</v>
      </c>
      <c r="U232" t="str">
        <f t="shared" ca="1" si="42"/>
        <v>Sheets("Master Data").Range("0" &amp; RowNo).Value</v>
      </c>
      <c r="V232" t="e">
        <f t="shared" ca="1" si="51"/>
        <v>#REF!</v>
      </c>
      <c r="X232" t="e">
        <f t="shared" ca="1" si="43"/>
        <v>#REF!</v>
      </c>
      <c r="Z232" t="e">
        <f t="shared" ca="1" si="44"/>
        <v>#REF!</v>
      </c>
      <c r="AB232" t="e">
        <f t="shared" ca="1" si="52"/>
        <v>#REF!</v>
      </c>
      <c r="AD232" t="e">
        <f t="shared" ca="1" si="53"/>
        <v>#REF!</v>
      </c>
    </row>
    <row r="233" spans="1:30" ht="15" x14ac:dyDescent="0.25">
      <c r="A233" s="150">
        <v>226</v>
      </c>
      <c r="B233" s="150" t="str">
        <f t="shared" si="45"/>
        <v>HR1</v>
      </c>
      <c r="D233" t="s">
        <v>416</v>
      </c>
      <c r="E233">
        <f t="shared" ca="1" si="46"/>
        <v>0</v>
      </c>
      <c r="F233" t="e">
        <f t="shared" ca="1" si="54"/>
        <v>#REF!</v>
      </c>
      <c r="G233" t="s">
        <v>417</v>
      </c>
      <c r="H233" t="s">
        <v>421</v>
      </c>
      <c r="I233" t="e">
        <f t="shared" ca="1" si="47"/>
        <v>#REF!</v>
      </c>
      <c r="J233" t="e">
        <f t="shared" ca="1" si="48"/>
        <v>#REF!</v>
      </c>
      <c r="K233" t="s">
        <v>431</v>
      </c>
      <c r="L233" s="150" t="s">
        <v>423</v>
      </c>
      <c r="M233" s="150" t="s">
        <v>435</v>
      </c>
      <c r="N233" t="e">
        <f t="shared" ca="1" si="49"/>
        <v>#REF!</v>
      </c>
      <c r="O233" s="150" t="s">
        <v>412</v>
      </c>
      <c r="P233" s="150" t="s">
        <v>428</v>
      </c>
      <c r="Q233" s="150" t="s">
        <v>399</v>
      </c>
      <c r="R233" t="e">
        <f t="shared" ca="1" si="50"/>
        <v>#REF!</v>
      </c>
      <c r="S233" t="s">
        <v>398</v>
      </c>
      <c r="T233" t="s">
        <v>448</v>
      </c>
      <c r="U233" t="str">
        <f t="shared" ca="1" si="42"/>
        <v>Sheets("Master Data").Range("0" &amp; RowNo).Value</v>
      </c>
      <c r="V233" t="e">
        <f t="shared" ca="1" si="51"/>
        <v>#REF!</v>
      </c>
      <c r="X233" t="e">
        <f t="shared" ca="1" si="43"/>
        <v>#REF!</v>
      </c>
      <c r="Z233" t="e">
        <f t="shared" ca="1" si="44"/>
        <v>#REF!</v>
      </c>
      <c r="AB233" t="e">
        <f t="shared" ca="1" si="52"/>
        <v>#REF!</v>
      </c>
      <c r="AD233" t="e">
        <f t="shared" ca="1" si="53"/>
        <v>#REF!</v>
      </c>
    </row>
    <row r="234" spans="1:30" ht="15" x14ac:dyDescent="0.25">
      <c r="A234" s="150">
        <v>227</v>
      </c>
      <c r="B234" s="150" t="str">
        <f t="shared" si="45"/>
        <v>HS1</v>
      </c>
      <c r="D234" t="s">
        <v>416</v>
      </c>
      <c r="E234">
        <f t="shared" ca="1" si="46"/>
        <v>0</v>
      </c>
      <c r="F234" t="e">
        <f t="shared" ca="1" si="54"/>
        <v>#REF!</v>
      </c>
      <c r="G234" t="s">
        <v>417</v>
      </c>
      <c r="H234" t="s">
        <v>421</v>
      </c>
      <c r="I234" t="e">
        <f t="shared" ca="1" si="47"/>
        <v>#REF!</v>
      </c>
      <c r="J234" t="e">
        <f t="shared" ca="1" si="48"/>
        <v>#REF!</v>
      </c>
      <c r="K234" t="s">
        <v>431</v>
      </c>
      <c r="L234" s="150" t="s">
        <v>423</v>
      </c>
      <c r="M234" s="150" t="s">
        <v>435</v>
      </c>
      <c r="N234" t="e">
        <f t="shared" ca="1" si="49"/>
        <v>#REF!</v>
      </c>
      <c r="O234" s="150" t="s">
        <v>412</v>
      </c>
      <c r="P234" s="150" t="s">
        <v>428</v>
      </c>
      <c r="Q234" s="150" t="s">
        <v>399</v>
      </c>
      <c r="R234" t="e">
        <f t="shared" ca="1" si="50"/>
        <v>#REF!</v>
      </c>
      <c r="S234" t="s">
        <v>398</v>
      </c>
      <c r="T234" t="s">
        <v>448</v>
      </c>
      <c r="U234" t="str">
        <f t="shared" ca="1" si="42"/>
        <v>Sheets("Master Data").Range("0" &amp; RowNo).Value</v>
      </c>
      <c r="V234" t="e">
        <f t="shared" ca="1" si="51"/>
        <v>#REF!</v>
      </c>
      <c r="X234" t="e">
        <f t="shared" ca="1" si="43"/>
        <v>#REF!</v>
      </c>
      <c r="Z234" t="e">
        <f t="shared" ca="1" si="44"/>
        <v>#REF!</v>
      </c>
      <c r="AB234" t="e">
        <f t="shared" ca="1" si="52"/>
        <v>#REF!</v>
      </c>
      <c r="AD234" t="e">
        <f t="shared" ca="1" si="53"/>
        <v>#REF!</v>
      </c>
    </row>
    <row r="235" spans="1:30" ht="15" x14ac:dyDescent="0.25">
      <c r="A235" s="150">
        <v>228</v>
      </c>
      <c r="B235" s="150" t="str">
        <f t="shared" si="45"/>
        <v>HT1</v>
      </c>
      <c r="D235" t="s">
        <v>416</v>
      </c>
      <c r="E235">
        <f t="shared" ca="1" si="46"/>
        <v>0</v>
      </c>
      <c r="F235" t="e">
        <f t="shared" ca="1" si="54"/>
        <v>#REF!</v>
      </c>
      <c r="G235" t="s">
        <v>417</v>
      </c>
      <c r="H235" t="s">
        <v>421</v>
      </c>
      <c r="I235" t="e">
        <f t="shared" ca="1" si="47"/>
        <v>#REF!</v>
      </c>
      <c r="J235" t="e">
        <f t="shared" ca="1" si="48"/>
        <v>#REF!</v>
      </c>
      <c r="K235" t="s">
        <v>431</v>
      </c>
      <c r="L235" s="150" t="s">
        <v>423</v>
      </c>
      <c r="M235" s="150" t="s">
        <v>435</v>
      </c>
      <c r="N235" t="e">
        <f t="shared" ca="1" si="49"/>
        <v>#REF!</v>
      </c>
      <c r="O235" s="150" t="s">
        <v>412</v>
      </c>
      <c r="P235" s="150" t="s">
        <v>428</v>
      </c>
      <c r="Q235" s="150" t="s">
        <v>399</v>
      </c>
      <c r="R235" t="e">
        <f t="shared" ca="1" si="50"/>
        <v>#REF!</v>
      </c>
      <c r="S235" t="s">
        <v>398</v>
      </c>
      <c r="T235" t="s">
        <v>448</v>
      </c>
      <c r="U235" t="str">
        <f t="shared" ca="1" si="42"/>
        <v>Sheets("Master Data").Range("0" &amp; RowNo).Value</v>
      </c>
      <c r="V235" t="e">
        <f t="shared" ca="1" si="51"/>
        <v>#REF!</v>
      </c>
      <c r="X235" t="e">
        <f t="shared" ca="1" si="43"/>
        <v>#REF!</v>
      </c>
      <c r="Z235" t="e">
        <f t="shared" ca="1" si="44"/>
        <v>#REF!</v>
      </c>
      <c r="AB235" t="e">
        <f t="shared" ca="1" si="52"/>
        <v>#REF!</v>
      </c>
      <c r="AD235" t="e">
        <f t="shared" ca="1" si="53"/>
        <v>#REF!</v>
      </c>
    </row>
    <row r="236" spans="1:30" ht="15" x14ac:dyDescent="0.25">
      <c r="A236" s="150">
        <v>229</v>
      </c>
      <c r="B236" s="150" t="str">
        <f t="shared" si="45"/>
        <v>HU1</v>
      </c>
      <c r="D236" t="s">
        <v>416</v>
      </c>
      <c r="E236">
        <f t="shared" ca="1" si="46"/>
        <v>0</v>
      </c>
      <c r="F236" t="e">
        <f t="shared" ca="1" si="54"/>
        <v>#REF!</v>
      </c>
      <c r="G236" t="s">
        <v>417</v>
      </c>
      <c r="H236" t="s">
        <v>421</v>
      </c>
      <c r="I236" t="e">
        <f t="shared" ca="1" si="47"/>
        <v>#REF!</v>
      </c>
      <c r="J236" t="e">
        <f t="shared" ca="1" si="48"/>
        <v>#REF!</v>
      </c>
      <c r="K236" t="s">
        <v>431</v>
      </c>
      <c r="L236" s="150" t="s">
        <v>423</v>
      </c>
      <c r="M236" s="150" t="s">
        <v>435</v>
      </c>
      <c r="N236" t="e">
        <f t="shared" ca="1" si="49"/>
        <v>#REF!</v>
      </c>
      <c r="O236" s="150" t="s">
        <v>412</v>
      </c>
      <c r="P236" s="150" t="s">
        <v>428</v>
      </c>
      <c r="Q236" s="150" t="s">
        <v>399</v>
      </c>
      <c r="R236" t="e">
        <f t="shared" ca="1" si="50"/>
        <v>#REF!</v>
      </c>
      <c r="S236" t="s">
        <v>398</v>
      </c>
      <c r="T236" t="s">
        <v>448</v>
      </c>
      <c r="U236" t="str">
        <f t="shared" ca="1" si="42"/>
        <v>Sheets("Master Data").Range("0" &amp; RowNo).Value</v>
      </c>
      <c r="V236" t="e">
        <f t="shared" ca="1" si="51"/>
        <v>#REF!</v>
      </c>
      <c r="X236" t="e">
        <f t="shared" ca="1" si="43"/>
        <v>#REF!</v>
      </c>
      <c r="Z236" t="e">
        <f t="shared" ca="1" si="44"/>
        <v>#REF!</v>
      </c>
      <c r="AB236" t="e">
        <f t="shared" ca="1" si="52"/>
        <v>#REF!</v>
      </c>
      <c r="AD236" t="e">
        <f t="shared" ca="1" si="53"/>
        <v>#REF!</v>
      </c>
    </row>
    <row r="237" spans="1:30" ht="15" x14ac:dyDescent="0.25">
      <c r="A237" s="150">
        <v>230</v>
      </c>
      <c r="B237" s="150" t="str">
        <f t="shared" si="45"/>
        <v>HV1</v>
      </c>
      <c r="D237" t="s">
        <v>416</v>
      </c>
      <c r="E237">
        <f t="shared" ca="1" si="46"/>
        <v>0</v>
      </c>
      <c r="F237" t="e">
        <f t="shared" ca="1" si="54"/>
        <v>#REF!</v>
      </c>
      <c r="G237" t="s">
        <v>417</v>
      </c>
      <c r="H237" t="s">
        <v>421</v>
      </c>
      <c r="I237" t="e">
        <f t="shared" ca="1" si="47"/>
        <v>#REF!</v>
      </c>
      <c r="J237" t="e">
        <f t="shared" ca="1" si="48"/>
        <v>#REF!</v>
      </c>
      <c r="K237" t="s">
        <v>431</v>
      </c>
      <c r="L237" s="150" t="s">
        <v>423</v>
      </c>
      <c r="M237" s="150" t="s">
        <v>435</v>
      </c>
      <c r="N237" t="e">
        <f t="shared" ca="1" si="49"/>
        <v>#REF!</v>
      </c>
      <c r="O237" s="150" t="s">
        <v>412</v>
      </c>
      <c r="P237" s="150" t="s">
        <v>428</v>
      </c>
      <c r="Q237" s="150" t="s">
        <v>399</v>
      </c>
      <c r="R237" t="e">
        <f t="shared" ca="1" si="50"/>
        <v>#REF!</v>
      </c>
      <c r="S237" t="s">
        <v>398</v>
      </c>
      <c r="T237" t="s">
        <v>448</v>
      </c>
      <c r="U237" t="str">
        <f t="shared" ca="1" si="42"/>
        <v>Sheets("Master Data").Range("0" &amp; RowNo).Value</v>
      </c>
      <c r="V237" t="e">
        <f t="shared" ca="1" si="51"/>
        <v>#REF!</v>
      </c>
      <c r="X237" t="e">
        <f t="shared" ca="1" si="43"/>
        <v>#REF!</v>
      </c>
      <c r="Z237" t="e">
        <f t="shared" ca="1" si="44"/>
        <v>#REF!</v>
      </c>
      <c r="AB237" t="e">
        <f t="shared" ca="1" si="52"/>
        <v>#REF!</v>
      </c>
      <c r="AD237" t="e">
        <f t="shared" ca="1" si="53"/>
        <v>#REF!</v>
      </c>
    </row>
    <row r="238" spans="1:30" ht="15" x14ac:dyDescent="0.25">
      <c r="A238" s="150">
        <v>231</v>
      </c>
      <c r="B238" s="150" t="str">
        <f t="shared" si="45"/>
        <v>HW1</v>
      </c>
      <c r="D238" t="s">
        <v>416</v>
      </c>
      <c r="E238">
        <f t="shared" ca="1" si="46"/>
        <v>0</v>
      </c>
      <c r="F238" t="e">
        <f t="shared" ca="1" si="54"/>
        <v>#REF!</v>
      </c>
      <c r="G238" t="s">
        <v>417</v>
      </c>
      <c r="H238" t="s">
        <v>421</v>
      </c>
      <c r="I238" t="e">
        <f t="shared" ca="1" si="47"/>
        <v>#REF!</v>
      </c>
      <c r="J238" t="e">
        <f t="shared" ca="1" si="48"/>
        <v>#REF!</v>
      </c>
      <c r="K238" t="s">
        <v>431</v>
      </c>
      <c r="L238" s="150" t="s">
        <v>423</v>
      </c>
      <c r="M238" s="150" t="s">
        <v>435</v>
      </c>
      <c r="N238" t="e">
        <f t="shared" ca="1" si="49"/>
        <v>#REF!</v>
      </c>
      <c r="O238" s="150" t="s">
        <v>412</v>
      </c>
      <c r="P238" s="150" t="s">
        <v>428</v>
      </c>
      <c r="Q238" s="150" t="s">
        <v>399</v>
      </c>
      <c r="R238" t="e">
        <f t="shared" ca="1" si="50"/>
        <v>#REF!</v>
      </c>
      <c r="S238" t="s">
        <v>398</v>
      </c>
      <c r="T238" t="s">
        <v>448</v>
      </c>
      <c r="U238" t="str">
        <f t="shared" ca="1" si="42"/>
        <v>Sheets("Master Data").Range("0" &amp; RowNo).Value</v>
      </c>
      <c r="V238" t="e">
        <f t="shared" ca="1" si="51"/>
        <v>#REF!</v>
      </c>
      <c r="X238" t="e">
        <f t="shared" ca="1" si="43"/>
        <v>#REF!</v>
      </c>
      <c r="Z238" t="e">
        <f t="shared" ca="1" si="44"/>
        <v>#REF!</v>
      </c>
      <c r="AB238" t="e">
        <f t="shared" ca="1" si="52"/>
        <v>#REF!</v>
      </c>
      <c r="AD238" t="e">
        <f t="shared" ca="1" si="53"/>
        <v>#REF!</v>
      </c>
    </row>
    <row r="239" spans="1:30" ht="15" x14ac:dyDescent="0.25">
      <c r="A239" s="150">
        <v>232</v>
      </c>
      <c r="B239" s="150" t="str">
        <f t="shared" si="45"/>
        <v>HX1</v>
      </c>
      <c r="D239" t="s">
        <v>416</v>
      </c>
      <c r="E239">
        <f t="shared" ca="1" si="46"/>
        <v>0</v>
      </c>
      <c r="F239" t="e">
        <f t="shared" ca="1" si="54"/>
        <v>#REF!</v>
      </c>
      <c r="G239" t="s">
        <v>417</v>
      </c>
      <c r="H239" t="s">
        <v>421</v>
      </c>
      <c r="I239" t="e">
        <f t="shared" ca="1" si="47"/>
        <v>#REF!</v>
      </c>
      <c r="J239" t="e">
        <f t="shared" ca="1" si="48"/>
        <v>#REF!</v>
      </c>
      <c r="K239" t="s">
        <v>431</v>
      </c>
      <c r="L239" s="150" t="s">
        <v>423</v>
      </c>
      <c r="M239" s="150" t="s">
        <v>435</v>
      </c>
      <c r="N239" t="e">
        <f t="shared" ca="1" si="49"/>
        <v>#REF!</v>
      </c>
      <c r="O239" s="150" t="s">
        <v>412</v>
      </c>
      <c r="P239" s="150" t="s">
        <v>428</v>
      </c>
      <c r="Q239" s="150" t="s">
        <v>399</v>
      </c>
      <c r="R239" t="e">
        <f t="shared" ca="1" si="50"/>
        <v>#REF!</v>
      </c>
      <c r="S239" t="s">
        <v>398</v>
      </c>
      <c r="T239" t="s">
        <v>448</v>
      </c>
      <c r="U239" t="str">
        <f t="shared" ca="1" si="42"/>
        <v>Sheets("Master Data").Range("0" &amp; RowNo).Value</v>
      </c>
      <c r="V239" t="e">
        <f t="shared" ca="1" si="51"/>
        <v>#REF!</v>
      </c>
      <c r="X239" t="e">
        <f t="shared" ca="1" si="43"/>
        <v>#REF!</v>
      </c>
      <c r="Z239" t="e">
        <f t="shared" ca="1" si="44"/>
        <v>#REF!</v>
      </c>
      <c r="AB239" t="e">
        <f t="shared" ca="1" si="52"/>
        <v>#REF!</v>
      </c>
      <c r="AD239" t="e">
        <f t="shared" ca="1" si="53"/>
        <v>#REF!</v>
      </c>
    </row>
    <row r="240" spans="1:30" ht="15" x14ac:dyDescent="0.25">
      <c r="A240" s="150">
        <v>233</v>
      </c>
      <c r="B240" s="150" t="str">
        <f t="shared" si="45"/>
        <v>HY1</v>
      </c>
      <c r="D240" t="s">
        <v>416</v>
      </c>
      <c r="E240">
        <f t="shared" ca="1" si="46"/>
        <v>0</v>
      </c>
      <c r="F240" t="e">
        <f t="shared" ca="1" si="54"/>
        <v>#REF!</v>
      </c>
      <c r="G240" t="s">
        <v>417</v>
      </c>
      <c r="H240" t="s">
        <v>421</v>
      </c>
      <c r="I240" t="e">
        <f t="shared" ca="1" si="47"/>
        <v>#REF!</v>
      </c>
      <c r="J240" t="e">
        <f t="shared" ca="1" si="48"/>
        <v>#REF!</v>
      </c>
      <c r="K240" t="s">
        <v>431</v>
      </c>
      <c r="L240" s="150" t="s">
        <v>423</v>
      </c>
      <c r="M240" s="150" t="s">
        <v>435</v>
      </c>
      <c r="N240" t="e">
        <f t="shared" ca="1" si="49"/>
        <v>#REF!</v>
      </c>
      <c r="O240" s="150" t="s">
        <v>412</v>
      </c>
      <c r="P240" s="150" t="s">
        <v>428</v>
      </c>
      <c r="Q240" s="150" t="s">
        <v>399</v>
      </c>
      <c r="R240" t="e">
        <f t="shared" ca="1" si="50"/>
        <v>#REF!</v>
      </c>
      <c r="S240" t="s">
        <v>398</v>
      </c>
      <c r="T240" t="s">
        <v>448</v>
      </c>
      <c r="U240" t="str">
        <f t="shared" ca="1" si="42"/>
        <v>Sheets("Master Data").Range("0" &amp; RowNo).Value</v>
      </c>
      <c r="V240" t="e">
        <f t="shared" ca="1" si="51"/>
        <v>#REF!</v>
      </c>
      <c r="X240" t="e">
        <f t="shared" ca="1" si="43"/>
        <v>#REF!</v>
      </c>
      <c r="Z240" t="e">
        <f t="shared" ca="1" si="44"/>
        <v>#REF!</v>
      </c>
      <c r="AB240" t="e">
        <f t="shared" ca="1" si="52"/>
        <v>#REF!</v>
      </c>
      <c r="AD240" t="e">
        <f t="shared" ca="1" si="53"/>
        <v>#REF!</v>
      </c>
    </row>
    <row r="241" spans="1:30" ht="15" x14ac:dyDescent="0.25">
      <c r="A241" s="150">
        <v>234</v>
      </c>
      <c r="B241" s="150" t="str">
        <f t="shared" si="45"/>
        <v>HZ1</v>
      </c>
      <c r="D241" t="s">
        <v>416</v>
      </c>
      <c r="E241">
        <f t="shared" ca="1" si="46"/>
        <v>0</v>
      </c>
      <c r="F241" t="e">
        <f t="shared" ca="1" si="54"/>
        <v>#REF!</v>
      </c>
      <c r="G241" t="s">
        <v>417</v>
      </c>
      <c r="H241" t="s">
        <v>421</v>
      </c>
      <c r="I241" t="e">
        <f t="shared" ca="1" si="47"/>
        <v>#REF!</v>
      </c>
      <c r="J241" t="e">
        <f t="shared" ca="1" si="48"/>
        <v>#REF!</v>
      </c>
      <c r="K241" t="s">
        <v>431</v>
      </c>
      <c r="L241" s="150" t="s">
        <v>423</v>
      </c>
      <c r="M241" s="150" t="s">
        <v>435</v>
      </c>
      <c r="N241" t="e">
        <f t="shared" ca="1" si="49"/>
        <v>#REF!</v>
      </c>
      <c r="O241" s="150" t="s">
        <v>412</v>
      </c>
      <c r="P241" s="150" t="s">
        <v>428</v>
      </c>
      <c r="Q241" s="150" t="s">
        <v>399</v>
      </c>
      <c r="R241" t="e">
        <f t="shared" ca="1" si="50"/>
        <v>#REF!</v>
      </c>
      <c r="S241" t="s">
        <v>398</v>
      </c>
      <c r="T241" t="s">
        <v>448</v>
      </c>
      <c r="U241" t="str">
        <f t="shared" ca="1" si="42"/>
        <v>Sheets("Master Data").Range("0" &amp; RowNo).Value</v>
      </c>
      <c r="V241" t="e">
        <f t="shared" ca="1" si="51"/>
        <v>#REF!</v>
      </c>
      <c r="X241" t="e">
        <f t="shared" ca="1" si="43"/>
        <v>#REF!</v>
      </c>
      <c r="Z241" t="e">
        <f t="shared" ca="1" si="44"/>
        <v>#REF!</v>
      </c>
      <c r="AB241" t="e">
        <f t="shared" ca="1" si="52"/>
        <v>#REF!</v>
      </c>
      <c r="AD241" t="e">
        <f t="shared" ca="1" si="53"/>
        <v>#REF!</v>
      </c>
    </row>
    <row r="242" spans="1:30" ht="15" x14ac:dyDescent="0.25">
      <c r="A242" s="150">
        <v>235</v>
      </c>
      <c r="B242" s="150" t="str">
        <f t="shared" si="45"/>
        <v>IA1</v>
      </c>
      <c r="D242" t="s">
        <v>416</v>
      </c>
      <c r="E242">
        <f t="shared" ca="1" si="46"/>
        <v>0</v>
      </c>
      <c r="F242" t="e">
        <f t="shared" ca="1" si="54"/>
        <v>#REF!</v>
      </c>
      <c r="G242" t="s">
        <v>417</v>
      </c>
      <c r="H242" t="s">
        <v>421</v>
      </c>
      <c r="I242" t="e">
        <f t="shared" ca="1" si="47"/>
        <v>#REF!</v>
      </c>
      <c r="J242" t="e">
        <f t="shared" ca="1" si="48"/>
        <v>#REF!</v>
      </c>
      <c r="K242" t="s">
        <v>431</v>
      </c>
      <c r="L242" s="150" t="s">
        <v>423</v>
      </c>
      <c r="M242" s="150" t="s">
        <v>435</v>
      </c>
      <c r="N242" t="e">
        <f t="shared" ca="1" si="49"/>
        <v>#REF!</v>
      </c>
      <c r="O242" s="150" t="s">
        <v>412</v>
      </c>
      <c r="P242" s="150" t="s">
        <v>428</v>
      </c>
      <c r="Q242" s="150" t="s">
        <v>399</v>
      </c>
      <c r="R242" t="e">
        <f t="shared" ca="1" si="50"/>
        <v>#REF!</v>
      </c>
      <c r="S242" t="s">
        <v>398</v>
      </c>
      <c r="T242" t="s">
        <v>448</v>
      </c>
      <c r="U242" t="str">
        <f t="shared" ca="1" si="42"/>
        <v>Sheets("Master Data").Range("0" &amp; RowNo).Value</v>
      </c>
      <c r="V242" t="e">
        <f t="shared" ca="1" si="51"/>
        <v>#REF!</v>
      </c>
      <c r="X242" t="e">
        <f t="shared" ca="1" si="43"/>
        <v>#REF!</v>
      </c>
      <c r="Z242" t="e">
        <f t="shared" ca="1" si="44"/>
        <v>#REF!</v>
      </c>
      <c r="AB242" t="e">
        <f t="shared" ca="1" si="52"/>
        <v>#REF!</v>
      </c>
      <c r="AD242" t="e">
        <f t="shared" ca="1" si="53"/>
        <v>#REF!</v>
      </c>
    </row>
    <row r="243" spans="1:30" ht="15" x14ac:dyDescent="0.25">
      <c r="A243" s="150">
        <v>236</v>
      </c>
      <c r="B243" s="150" t="str">
        <f t="shared" si="45"/>
        <v>IB1</v>
      </c>
      <c r="D243" t="s">
        <v>416</v>
      </c>
      <c r="E243">
        <f t="shared" ca="1" si="46"/>
        <v>0</v>
      </c>
      <c r="F243" t="e">
        <f t="shared" ca="1" si="54"/>
        <v>#REF!</v>
      </c>
      <c r="G243" t="s">
        <v>417</v>
      </c>
      <c r="H243" t="s">
        <v>421</v>
      </c>
      <c r="I243" t="e">
        <f t="shared" ca="1" si="47"/>
        <v>#REF!</v>
      </c>
      <c r="J243" t="e">
        <f t="shared" ca="1" si="48"/>
        <v>#REF!</v>
      </c>
      <c r="K243" t="s">
        <v>431</v>
      </c>
      <c r="L243" s="150" t="s">
        <v>423</v>
      </c>
      <c r="M243" s="150" t="s">
        <v>435</v>
      </c>
      <c r="N243" t="e">
        <f t="shared" ca="1" si="49"/>
        <v>#REF!</v>
      </c>
      <c r="O243" s="150" t="s">
        <v>412</v>
      </c>
      <c r="P243" s="150" t="s">
        <v>428</v>
      </c>
      <c r="Q243" s="150" t="s">
        <v>399</v>
      </c>
      <c r="R243" t="e">
        <f t="shared" ca="1" si="50"/>
        <v>#REF!</v>
      </c>
      <c r="S243" t="s">
        <v>398</v>
      </c>
      <c r="T243" t="s">
        <v>448</v>
      </c>
      <c r="U243" t="str">
        <f t="shared" ca="1" si="42"/>
        <v>Sheets("Master Data").Range("0" &amp; RowNo).Value</v>
      </c>
      <c r="V243" t="e">
        <f t="shared" ca="1" si="51"/>
        <v>#REF!</v>
      </c>
      <c r="X243" t="e">
        <f t="shared" ca="1" si="43"/>
        <v>#REF!</v>
      </c>
      <c r="Z243" t="e">
        <f t="shared" ca="1" si="44"/>
        <v>#REF!</v>
      </c>
      <c r="AB243" t="e">
        <f t="shared" ca="1" si="52"/>
        <v>#REF!</v>
      </c>
      <c r="AD243" t="e">
        <f t="shared" ca="1" si="53"/>
        <v>#REF!</v>
      </c>
    </row>
    <row r="244" spans="1:30" ht="15" x14ac:dyDescent="0.25">
      <c r="A244" s="150">
        <v>237</v>
      </c>
      <c r="B244" s="150" t="str">
        <f t="shared" si="45"/>
        <v>IC1</v>
      </c>
      <c r="D244" t="s">
        <v>416</v>
      </c>
      <c r="E244">
        <f t="shared" ca="1" si="46"/>
        <v>0</v>
      </c>
      <c r="F244" t="e">
        <f t="shared" ca="1" si="54"/>
        <v>#REF!</v>
      </c>
      <c r="G244" t="s">
        <v>417</v>
      </c>
      <c r="H244" t="s">
        <v>421</v>
      </c>
      <c r="I244" t="e">
        <f t="shared" ca="1" si="47"/>
        <v>#REF!</v>
      </c>
      <c r="J244" t="e">
        <f t="shared" ca="1" si="48"/>
        <v>#REF!</v>
      </c>
      <c r="K244" t="s">
        <v>431</v>
      </c>
      <c r="L244" s="150" t="s">
        <v>423</v>
      </c>
      <c r="M244" s="150" t="s">
        <v>435</v>
      </c>
      <c r="N244" t="e">
        <f t="shared" ca="1" si="49"/>
        <v>#REF!</v>
      </c>
      <c r="O244" s="150" t="s">
        <v>412</v>
      </c>
      <c r="P244" s="150" t="s">
        <v>428</v>
      </c>
      <c r="Q244" s="150" t="s">
        <v>399</v>
      </c>
      <c r="R244" t="e">
        <f t="shared" ca="1" si="50"/>
        <v>#REF!</v>
      </c>
      <c r="S244" t="s">
        <v>398</v>
      </c>
      <c r="T244" t="s">
        <v>448</v>
      </c>
      <c r="U244" t="str">
        <f t="shared" ca="1" si="42"/>
        <v>Sheets("Master Data").Range("0" &amp; RowNo).Value</v>
      </c>
      <c r="V244" t="e">
        <f t="shared" ca="1" si="51"/>
        <v>#REF!</v>
      </c>
      <c r="X244" t="e">
        <f t="shared" ca="1" si="43"/>
        <v>#REF!</v>
      </c>
      <c r="Z244" t="e">
        <f t="shared" ca="1" si="44"/>
        <v>#REF!</v>
      </c>
      <c r="AB244" t="e">
        <f t="shared" ca="1" si="52"/>
        <v>#REF!</v>
      </c>
      <c r="AD244" t="e">
        <f t="shared" ca="1" si="53"/>
        <v>#REF!</v>
      </c>
    </row>
    <row r="245" spans="1:30" ht="15" x14ac:dyDescent="0.25">
      <c r="A245" s="150">
        <v>238</v>
      </c>
      <c r="B245" s="150" t="str">
        <f t="shared" si="45"/>
        <v>ID1</v>
      </c>
      <c r="D245" t="s">
        <v>416</v>
      </c>
      <c r="E245">
        <f t="shared" ca="1" si="46"/>
        <v>0</v>
      </c>
      <c r="F245" t="e">
        <f t="shared" ca="1" si="54"/>
        <v>#REF!</v>
      </c>
      <c r="G245" t="s">
        <v>417</v>
      </c>
      <c r="H245" t="s">
        <v>421</v>
      </c>
      <c r="I245" t="e">
        <f t="shared" ca="1" si="47"/>
        <v>#REF!</v>
      </c>
      <c r="J245" t="e">
        <f t="shared" ca="1" si="48"/>
        <v>#REF!</v>
      </c>
      <c r="K245" t="s">
        <v>431</v>
      </c>
      <c r="L245" s="150" t="s">
        <v>423</v>
      </c>
      <c r="M245" s="150" t="s">
        <v>435</v>
      </c>
      <c r="N245" t="e">
        <f t="shared" ca="1" si="49"/>
        <v>#REF!</v>
      </c>
      <c r="O245" s="150" t="s">
        <v>412</v>
      </c>
      <c r="P245" s="150" t="s">
        <v>428</v>
      </c>
      <c r="Q245" s="150" t="s">
        <v>399</v>
      </c>
      <c r="R245" t="e">
        <f t="shared" ca="1" si="50"/>
        <v>#REF!</v>
      </c>
      <c r="S245" t="s">
        <v>398</v>
      </c>
      <c r="T245" t="s">
        <v>448</v>
      </c>
      <c r="U245" t="str">
        <f t="shared" ca="1" si="42"/>
        <v>Sheets("Master Data").Range("0" &amp; RowNo).Value</v>
      </c>
      <c r="V245" t="e">
        <f t="shared" ca="1" si="51"/>
        <v>#REF!</v>
      </c>
      <c r="X245" t="e">
        <f t="shared" ca="1" si="43"/>
        <v>#REF!</v>
      </c>
      <c r="Z245" t="e">
        <f t="shared" ca="1" si="44"/>
        <v>#REF!</v>
      </c>
      <c r="AB245" t="e">
        <f t="shared" ca="1" si="52"/>
        <v>#REF!</v>
      </c>
      <c r="AD245" t="e">
        <f t="shared" ca="1" si="53"/>
        <v>#REF!</v>
      </c>
    </row>
    <row r="246" spans="1:30" ht="15" x14ac:dyDescent="0.25">
      <c r="A246" s="150">
        <v>239</v>
      </c>
      <c r="B246" s="150" t="str">
        <f t="shared" si="45"/>
        <v>IE1</v>
      </c>
      <c r="D246" t="s">
        <v>416</v>
      </c>
      <c r="E246">
        <f t="shared" ca="1" si="46"/>
        <v>0</v>
      </c>
      <c r="F246" t="e">
        <f t="shared" ca="1" si="54"/>
        <v>#REF!</v>
      </c>
      <c r="G246" t="s">
        <v>417</v>
      </c>
      <c r="H246" t="s">
        <v>421</v>
      </c>
      <c r="I246" t="e">
        <f t="shared" ca="1" si="47"/>
        <v>#REF!</v>
      </c>
      <c r="J246" t="e">
        <f t="shared" ca="1" si="48"/>
        <v>#REF!</v>
      </c>
      <c r="K246" t="s">
        <v>431</v>
      </c>
      <c r="L246" s="150" t="s">
        <v>423</v>
      </c>
      <c r="M246" s="150" t="s">
        <v>435</v>
      </c>
      <c r="N246" t="e">
        <f t="shared" ca="1" si="49"/>
        <v>#REF!</v>
      </c>
      <c r="O246" s="150" t="s">
        <v>412</v>
      </c>
      <c r="P246" s="150" t="s">
        <v>428</v>
      </c>
      <c r="Q246" s="150" t="s">
        <v>399</v>
      </c>
      <c r="R246" t="e">
        <f t="shared" ca="1" si="50"/>
        <v>#REF!</v>
      </c>
      <c r="S246" t="s">
        <v>398</v>
      </c>
      <c r="T246" t="s">
        <v>448</v>
      </c>
      <c r="U246" t="str">
        <f t="shared" ca="1" si="42"/>
        <v>Sheets("Master Data").Range("0" &amp; RowNo).Value</v>
      </c>
      <c r="V246" t="e">
        <f t="shared" ca="1" si="51"/>
        <v>#REF!</v>
      </c>
      <c r="X246" t="e">
        <f t="shared" ca="1" si="43"/>
        <v>#REF!</v>
      </c>
      <c r="Z246" t="e">
        <f t="shared" ca="1" si="44"/>
        <v>#REF!</v>
      </c>
      <c r="AB246" t="e">
        <f t="shared" ca="1" si="52"/>
        <v>#REF!</v>
      </c>
      <c r="AD246" t="e">
        <f t="shared" ca="1" si="53"/>
        <v>#REF!</v>
      </c>
    </row>
    <row r="247" spans="1:30" ht="15" x14ac:dyDescent="0.25">
      <c r="A247" s="150">
        <v>240</v>
      </c>
      <c r="B247" s="150" t="str">
        <f t="shared" si="45"/>
        <v>IF1</v>
      </c>
      <c r="D247" t="s">
        <v>416</v>
      </c>
      <c r="E247">
        <f t="shared" ca="1" si="46"/>
        <v>0</v>
      </c>
      <c r="F247" t="e">
        <f t="shared" ca="1" si="54"/>
        <v>#REF!</v>
      </c>
      <c r="G247" t="s">
        <v>417</v>
      </c>
      <c r="H247" t="s">
        <v>421</v>
      </c>
      <c r="I247" t="e">
        <f t="shared" ca="1" si="47"/>
        <v>#REF!</v>
      </c>
      <c r="J247" t="e">
        <f t="shared" ca="1" si="48"/>
        <v>#REF!</v>
      </c>
      <c r="K247" t="s">
        <v>431</v>
      </c>
      <c r="L247" s="150" t="s">
        <v>423</v>
      </c>
      <c r="M247" s="150" t="s">
        <v>435</v>
      </c>
      <c r="N247" t="e">
        <f t="shared" ca="1" si="49"/>
        <v>#REF!</v>
      </c>
      <c r="O247" s="150" t="s">
        <v>412</v>
      </c>
      <c r="P247" s="150" t="s">
        <v>428</v>
      </c>
      <c r="Q247" s="150" t="s">
        <v>399</v>
      </c>
      <c r="R247" t="e">
        <f t="shared" ca="1" si="50"/>
        <v>#REF!</v>
      </c>
      <c r="S247" t="s">
        <v>398</v>
      </c>
      <c r="T247" t="s">
        <v>448</v>
      </c>
      <c r="U247" t="str">
        <f t="shared" ca="1" si="42"/>
        <v>Sheets("Master Data").Range("0" &amp; RowNo).Value</v>
      </c>
      <c r="V247" t="e">
        <f t="shared" ca="1" si="51"/>
        <v>#REF!</v>
      </c>
      <c r="X247" t="e">
        <f t="shared" ca="1" si="43"/>
        <v>#REF!</v>
      </c>
      <c r="Z247" t="e">
        <f t="shared" ca="1" si="44"/>
        <v>#REF!</v>
      </c>
      <c r="AB247" t="e">
        <f t="shared" ca="1" si="52"/>
        <v>#REF!</v>
      </c>
      <c r="AD247" t="e">
        <f t="shared" ca="1" si="53"/>
        <v>#REF!</v>
      </c>
    </row>
    <row r="248" spans="1:30" ht="15" x14ac:dyDescent="0.25">
      <c r="A248" s="150">
        <v>241</v>
      </c>
      <c r="B248" s="150" t="str">
        <f t="shared" si="45"/>
        <v>IG1</v>
      </c>
      <c r="D248" t="s">
        <v>416</v>
      </c>
      <c r="E248">
        <f t="shared" ca="1" si="46"/>
        <v>0</v>
      </c>
      <c r="F248" t="e">
        <f t="shared" ca="1" si="54"/>
        <v>#REF!</v>
      </c>
      <c r="G248" t="s">
        <v>417</v>
      </c>
      <c r="H248" t="s">
        <v>421</v>
      </c>
      <c r="I248" t="e">
        <f t="shared" ca="1" si="47"/>
        <v>#REF!</v>
      </c>
      <c r="J248" t="e">
        <f t="shared" ca="1" si="48"/>
        <v>#REF!</v>
      </c>
      <c r="K248" t="s">
        <v>431</v>
      </c>
      <c r="L248" s="150" t="s">
        <v>423</v>
      </c>
      <c r="M248" s="150" t="s">
        <v>435</v>
      </c>
      <c r="N248" t="e">
        <f t="shared" ca="1" si="49"/>
        <v>#REF!</v>
      </c>
      <c r="O248" s="150" t="s">
        <v>412</v>
      </c>
      <c r="P248" s="150" t="s">
        <v>428</v>
      </c>
      <c r="Q248" s="150" t="s">
        <v>399</v>
      </c>
      <c r="R248" t="e">
        <f t="shared" ca="1" si="50"/>
        <v>#REF!</v>
      </c>
      <c r="S248" t="s">
        <v>398</v>
      </c>
      <c r="T248" t="s">
        <v>448</v>
      </c>
      <c r="U248" t="str">
        <f t="shared" ca="1" si="42"/>
        <v>Sheets("Master Data").Range("0" &amp; RowNo).Value</v>
      </c>
      <c r="V248" t="e">
        <f t="shared" ca="1" si="51"/>
        <v>#REF!</v>
      </c>
      <c r="X248" t="e">
        <f t="shared" ca="1" si="43"/>
        <v>#REF!</v>
      </c>
      <c r="Z248" t="e">
        <f t="shared" ca="1" si="44"/>
        <v>#REF!</v>
      </c>
      <c r="AB248" t="e">
        <f t="shared" ca="1" si="52"/>
        <v>#REF!</v>
      </c>
      <c r="AD248" t="e">
        <f t="shared" ca="1" si="53"/>
        <v>#REF!</v>
      </c>
    </row>
    <row r="249" spans="1:30" ht="15" x14ac:dyDescent="0.25">
      <c r="A249" s="150">
        <v>242</v>
      </c>
      <c r="B249" s="150" t="str">
        <f t="shared" si="45"/>
        <v>IH1</v>
      </c>
      <c r="D249" t="s">
        <v>416</v>
      </c>
      <c r="E249">
        <f t="shared" ca="1" si="46"/>
        <v>0</v>
      </c>
      <c r="F249" t="e">
        <f t="shared" ca="1" si="54"/>
        <v>#REF!</v>
      </c>
      <c r="G249" t="s">
        <v>417</v>
      </c>
      <c r="H249" t="s">
        <v>421</v>
      </c>
      <c r="I249" t="e">
        <f t="shared" ca="1" si="47"/>
        <v>#REF!</v>
      </c>
      <c r="J249" t="e">
        <f t="shared" ca="1" si="48"/>
        <v>#REF!</v>
      </c>
      <c r="K249" t="s">
        <v>431</v>
      </c>
      <c r="L249" s="150" t="s">
        <v>423</v>
      </c>
      <c r="M249" s="150" t="s">
        <v>435</v>
      </c>
      <c r="N249" t="e">
        <f t="shared" ca="1" si="49"/>
        <v>#REF!</v>
      </c>
      <c r="O249" s="150" t="s">
        <v>412</v>
      </c>
      <c r="P249" s="150" t="s">
        <v>428</v>
      </c>
      <c r="Q249" s="150" t="s">
        <v>399</v>
      </c>
      <c r="R249" t="e">
        <f t="shared" ca="1" si="50"/>
        <v>#REF!</v>
      </c>
      <c r="S249" t="s">
        <v>398</v>
      </c>
      <c r="T249" t="s">
        <v>448</v>
      </c>
      <c r="U249" t="str">
        <f t="shared" ca="1" si="42"/>
        <v>Sheets("Master Data").Range("0" &amp; RowNo).Value</v>
      </c>
      <c r="V249" t="e">
        <f t="shared" ca="1" si="51"/>
        <v>#REF!</v>
      </c>
      <c r="X249" t="e">
        <f t="shared" ca="1" si="43"/>
        <v>#REF!</v>
      </c>
      <c r="Z249" t="e">
        <f t="shared" ca="1" si="44"/>
        <v>#REF!</v>
      </c>
      <c r="AB249" t="e">
        <f t="shared" ca="1" si="52"/>
        <v>#REF!</v>
      </c>
      <c r="AD249" t="e">
        <f t="shared" ca="1" si="53"/>
        <v>#REF!</v>
      </c>
    </row>
    <row r="250" spans="1:30" ht="15" x14ac:dyDescent="0.25">
      <c r="A250" s="150">
        <v>243</v>
      </c>
      <c r="B250" s="150" t="str">
        <f t="shared" si="45"/>
        <v>II1</v>
      </c>
      <c r="D250" t="s">
        <v>416</v>
      </c>
      <c r="E250">
        <f t="shared" ca="1" si="46"/>
        <v>0</v>
      </c>
      <c r="F250" t="e">
        <f t="shared" ca="1" si="54"/>
        <v>#REF!</v>
      </c>
      <c r="G250" t="s">
        <v>417</v>
      </c>
      <c r="H250" t="s">
        <v>421</v>
      </c>
      <c r="I250" t="e">
        <f t="shared" ca="1" si="47"/>
        <v>#REF!</v>
      </c>
      <c r="J250" t="e">
        <f t="shared" ca="1" si="48"/>
        <v>#REF!</v>
      </c>
      <c r="K250" t="s">
        <v>431</v>
      </c>
      <c r="L250" s="150" t="s">
        <v>423</v>
      </c>
      <c r="M250" s="150" t="s">
        <v>435</v>
      </c>
      <c r="N250" t="e">
        <f t="shared" ca="1" si="49"/>
        <v>#REF!</v>
      </c>
      <c r="O250" s="150" t="s">
        <v>412</v>
      </c>
      <c r="P250" s="150" t="s">
        <v>428</v>
      </c>
      <c r="Q250" s="150" t="s">
        <v>399</v>
      </c>
      <c r="R250" t="e">
        <f t="shared" ca="1" si="50"/>
        <v>#REF!</v>
      </c>
      <c r="S250" t="s">
        <v>398</v>
      </c>
      <c r="T250" t="s">
        <v>448</v>
      </c>
      <c r="U250" t="str">
        <f t="shared" ca="1" si="42"/>
        <v>Sheets("Master Data").Range("0" &amp; RowNo).Value</v>
      </c>
      <c r="V250" t="e">
        <f t="shared" ca="1" si="51"/>
        <v>#REF!</v>
      </c>
      <c r="X250" t="e">
        <f t="shared" ca="1" si="43"/>
        <v>#REF!</v>
      </c>
      <c r="Z250" t="e">
        <f t="shared" ca="1" si="44"/>
        <v>#REF!</v>
      </c>
      <c r="AB250" t="e">
        <f t="shared" ca="1" si="52"/>
        <v>#REF!</v>
      </c>
      <c r="AD250" t="e">
        <f t="shared" ca="1" si="53"/>
        <v>#REF!</v>
      </c>
    </row>
    <row r="251" spans="1:30" ht="15" x14ac:dyDescent="0.25">
      <c r="A251" s="150">
        <v>244</v>
      </c>
      <c r="B251" s="150" t="str">
        <f t="shared" si="45"/>
        <v>IJ1</v>
      </c>
      <c r="D251" t="s">
        <v>416</v>
      </c>
      <c r="E251">
        <f t="shared" ca="1" si="46"/>
        <v>0</v>
      </c>
      <c r="F251" t="e">
        <f t="shared" ca="1" si="54"/>
        <v>#REF!</v>
      </c>
      <c r="G251" t="s">
        <v>417</v>
      </c>
      <c r="H251" t="s">
        <v>421</v>
      </c>
      <c r="I251" t="e">
        <f t="shared" ca="1" si="47"/>
        <v>#REF!</v>
      </c>
      <c r="J251" t="e">
        <f t="shared" ca="1" si="48"/>
        <v>#REF!</v>
      </c>
      <c r="K251" t="s">
        <v>431</v>
      </c>
      <c r="L251" s="150" t="s">
        <v>423</v>
      </c>
      <c r="M251" s="150" t="s">
        <v>435</v>
      </c>
      <c r="N251" t="e">
        <f t="shared" ca="1" si="49"/>
        <v>#REF!</v>
      </c>
      <c r="O251" s="150" t="s">
        <v>412</v>
      </c>
      <c r="P251" s="150" t="s">
        <v>428</v>
      </c>
      <c r="Q251" s="150" t="s">
        <v>399</v>
      </c>
      <c r="R251" t="e">
        <f t="shared" ca="1" si="50"/>
        <v>#REF!</v>
      </c>
      <c r="S251" t="s">
        <v>398</v>
      </c>
      <c r="T251" t="s">
        <v>448</v>
      </c>
      <c r="U251" t="str">
        <f t="shared" ca="1" si="42"/>
        <v>Sheets("Master Data").Range("0" &amp; RowNo).Value</v>
      </c>
      <c r="V251" t="e">
        <f t="shared" ca="1" si="51"/>
        <v>#REF!</v>
      </c>
      <c r="X251" t="e">
        <f t="shared" ca="1" si="43"/>
        <v>#REF!</v>
      </c>
      <c r="Z251" t="e">
        <f t="shared" ca="1" si="44"/>
        <v>#REF!</v>
      </c>
      <c r="AB251" t="e">
        <f t="shared" ca="1" si="52"/>
        <v>#REF!</v>
      </c>
      <c r="AD251" t="e">
        <f t="shared" ca="1" si="53"/>
        <v>#REF!</v>
      </c>
    </row>
    <row r="252" spans="1:30" ht="15" x14ac:dyDescent="0.25">
      <c r="A252" s="150">
        <v>245</v>
      </c>
      <c r="B252" s="150" t="str">
        <f t="shared" si="45"/>
        <v>IK1</v>
      </c>
      <c r="D252" t="s">
        <v>416</v>
      </c>
      <c r="E252">
        <f t="shared" ca="1" si="46"/>
        <v>0</v>
      </c>
      <c r="F252" t="e">
        <f t="shared" ca="1" si="54"/>
        <v>#REF!</v>
      </c>
      <c r="G252" t="s">
        <v>417</v>
      </c>
      <c r="H252" t="s">
        <v>421</v>
      </c>
      <c r="I252" t="e">
        <f t="shared" ca="1" si="47"/>
        <v>#REF!</v>
      </c>
      <c r="J252" t="e">
        <f t="shared" ca="1" si="48"/>
        <v>#REF!</v>
      </c>
      <c r="K252" t="s">
        <v>431</v>
      </c>
      <c r="L252" s="150" t="s">
        <v>423</v>
      </c>
      <c r="M252" s="150" t="s">
        <v>435</v>
      </c>
      <c r="N252" t="e">
        <f t="shared" ca="1" si="49"/>
        <v>#REF!</v>
      </c>
      <c r="O252" s="150" t="s">
        <v>412</v>
      </c>
      <c r="P252" s="150" t="s">
        <v>428</v>
      </c>
      <c r="Q252" s="150" t="s">
        <v>399</v>
      </c>
      <c r="R252" t="e">
        <f t="shared" ca="1" si="50"/>
        <v>#REF!</v>
      </c>
      <c r="S252" t="s">
        <v>398</v>
      </c>
      <c r="T252" t="s">
        <v>448</v>
      </c>
      <c r="U252" t="str">
        <f t="shared" ca="1" si="42"/>
        <v>Sheets("Master Data").Range("0" &amp; RowNo).Value</v>
      </c>
      <c r="V252" t="e">
        <f t="shared" ca="1" si="51"/>
        <v>#REF!</v>
      </c>
      <c r="X252" t="e">
        <f t="shared" ca="1" si="43"/>
        <v>#REF!</v>
      </c>
      <c r="Z252" t="e">
        <f t="shared" ca="1" si="44"/>
        <v>#REF!</v>
      </c>
      <c r="AB252" t="e">
        <f t="shared" ca="1" si="52"/>
        <v>#REF!</v>
      </c>
      <c r="AD252" t="e">
        <f t="shared" ca="1" si="53"/>
        <v>#REF!</v>
      </c>
    </row>
    <row r="253" spans="1:30" ht="15" x14ac:dyDescent="0.25">
      <c r="A253" s="150">
        <v>246</v>
      </c>
      <c r="B253" s="150" t="str">
        <f t="shared" si="45"/>
        <v>IL1</v>
      </c>
      <c r="D253" t="s">
        <v>416</v>
      </c>
      <c r="E253">
        <f t="shared" ca="1" si="46"/>
        <v>0</v>
      </c>
      <c r="F253" t="e">
        <f t="shared" ca="1" si="54"/>
        <v>#REF!</v>
      </c>
      <c r="G253" t="s">
        <v>417</v>
      </c>
      <c r="H253" t="s">
        <v>421</v>
      </c>
      <c r="I253" t="e">
        <f t="shared" ca="1" si="47"/>
        <v>#REF!</v>
      </c>
      <c r="J253" t="e">
        <f t="shared" ca="1" si="48"/>
        <v>#REF!</v>
      </c>
      <c r="K253" t="s">
        <v>431</v>
      </c>
      <c r="L253" s="150" t="s">
        <v>423</v>
      </c>
      <c r="M253" s="150" t="s">
        <v>435</v>
      </c>
      <c r="N253" t="e">
        <f t="shared" ca="1" si="49"/>
        <v>#REF!</v>
      </c>
      <c r="O253" s="150" t="s">
        <v>412</v>
      </c>
      <c r="P253" s="150" t="s">
        <v>428</v>
      </c>
      <c r="Q253" s="150" t="s">
        <v>399</v>
      </c>
      <c r="R253" t="e">
        <f t="shared" ca="1" si="50"/>
        <v>#REF!</v>
      </c>
      <c r="S253" t="s">
        <v>398</v>
      </c>
      <c r="T253" t="s">
        <v>448</v>
      </c>
      <c r="U253" t="str">
        <f t="shared" ca="1" si="42"/>
        <v>Sheets("Master Data").Range("0" &amp; RowNo).Value</v>
      </c>
      <c r="V253" t="e">
        <f t="shared" ca="1" si="51"/>
        <v>#REF!</v>
      </c>
      <c r="X253" t="e">
        <f t="shared" ca="1" si="43"/>
        <v>#REF!</v>
      </c>
      <c r="Z253" t="e">
        <f t="shared" ca="1" si="44"/>
        <v>#REF!</v>
      </c>
      <c r="AB253" t="e">
        <f t="shared" ca="1" si="52"/>
        <v>#REF!</v>
      </c>
      <c r="AD253" t="e">
        <f t="shared" ca="1" si="53"/>
        <v>#REF!</v>
      </c>
    </row>
    <row r="254" spans="1:30" ht="15" x14ac:dyDescent="0.25">
      <c r="A254" s="150">
        <v>247</v>
      </c>
      <c r="B254" s="150" t="str">
        <f t="shared" si="45"/>
        <v>IM1</v>
      </c>
      <c r="D254" t="s">
        <v>416</v>
      </c>
      <c r="E254">
        <f t="shared" ca="1" si="46"/>
        <v>0</v>
      </c>
      <c r="F254" t="e">
        <f t="shared" ca="1" si="54"/>
        <v>#REF!</v>
      </c>
      <c r="G254" t="s">
        <v>417</v>
      </c>
      <c r="H254" t="s">
        <v>421</v>
      </c>
      <c r="I254" t="e">
        <f t="shared" ca="1" si="47"/>
        <v>#REF!</v>
      </c>
      <c r="J254" t="e">
        <f t="shared" ca="1" si="48"/>
        <v>#REF!</v>
      </c>
      <c r="K254" t="s">
        <v>431</v>
      </c>
      <c r="L254" s="150" t="s">
        <v>423</v>
      </c>
      <c r="M254" s="150" t="s">
        <v>435</v>
      </c>
      <c r="N254" t="e">
        <f t="shared" ca="1" si="49"/>
        <v>#REF!</v>
      </c>
      <c r="O254" s="150" t="s">
        <v>412</v>
      </c>
      <c r="P254" s="150" t="s">
        <v>428</v>
      </c>
      <c r="Q254" s="150" t="s">
        <v>399</v>
      </c>
      <c r="R254" t="e">
        <f t="shared" ca="1" si="50"/>
        <v>#REF!</v>
      </c>
      <c r="S254" t="s">
        <v>398</v>
      </c>
      <c r="T254" t="s">
        <v>448</v>
      </c>
      <c r="U254" t="str">
        <f t="shared" ca="1" si="42"/>
        <v>Sheets("Master Data").Range("0" &amp; RowNo).Value</v>
      </c>
      <c r="V254" t="e">
        <f t="shared" ca="1" si="51"/>
        <v>#REF!</v>
      </c>
      <c r="X254" t="e">
        <f t="shared" ca="1" si="43"/>
        <v>#REF!</v>
      </c>
      <c r="Z254" t="e">
        <f t="shared" ca="1" si="44"/>
        <v>#REF!</v>
      </c>
      <c r="AB254" t="e">
        <f t="shared" ca="1" si="52"/>
        <v>#REF!</v>
      </c>
      <c r="AD254" t="e">
        <f t="shared" ca="1" si="53"/>
        <v>#REF!</v>
      </c>
    </row>
    <row r="255" spans="1:30" ht="15" x14ac:dyDescent="0.25">
      <c r="A255" s="150">
        <v>248</v>
      </c>
      <c r="B255" s="150" t="str">
        <f t="shared" si="45"/>
        <v>IN1</v>
      </c>
      <c r="D255" t="s">
        <v>416</v>
      </c>
      <c r="E255">
        <f t="shared" ca="1" si="46"/>
        <v>0</v>
      </c>
      <c r="F255" t="e">
        <f t="shared" ca="1" si="54"/>
        <v>#REF!</v>
      </c>
      <c r="G255" t="s">
        <v>417</v>
      </c>
      <c r="H255" t="s">
        <v>421</v>
      </c>
      <c r="I255" t="e">
        <f t="shared" ca="1" si="47"/>
        <v>#REF!</v>
      </c>
      <c r="J255" t="e">
        <f t="shared" ca="1" si="48"/>
        <v>#REF!</v>
      </c>
      <c r="K255" t="s">
        <v>431</v>
      </c>
      <c r="L255" s="150" t="s">
        <v>423</v>
      </c>
      <c r="M255" s="150" t="s">
        <v>435</v>
      </c>
      <c r="N255" t="e">
        <f t="shared" ca="1" si="49"/>
        <v>#REF!</v>
      </c>
      <c r="O255" s="150" t="s">
        <v>412</v>
      </c>
      <c r="P255" s="150" t="s">
        <v>428</v>
      </c>
      <c r="Q255" s="150" t="s">
        <v>399</v>
      </c>
      <c r="R255" t="e">
        <f t="shared" ca="1" si="50"/>
        <v>#REF!</v>
      </c>
      <c r="S255" t="s">
        <v>398</v>
      </c>
      <c r="T255" t="s">
        <v>448</v>
      </c>
      <c r="U255" t="str">
        <f t="shared" ca="1" si="42"/>
        <v>Sheets("Master Data").Range("0" &amp; RowNo).Value</v>
      </c>
      <c r="V255" t="e">
        <f t="shared" ca="1" si="51"/>
        <v>#REF!</v>
      </c>
      <c r="X255" t="e">
        <f t="shared" ca="1" si="43"/>
        <v>#REF!</v>
      </c>
      <c r="Z255" t="e">
        <f t="shared" ca="1" si="44"/>
        <v>#REF!</v>
      </c>
      <c r="AB255" t="e">
        <f t="shared" ca="1" si="52"/>
        <v>#REF!</v>
      </c>
      <c r="AD255" t="e">
        <f t="shared" ca="1" si="53"/>
        <v>#REF!</v>
      </c>
    </row>
    <row r="256" spans="1:30" ht="15" x14ac:dyDescent="0.25">
      <c r="A256" s="150">
        <v>249</v>
      </c>
      <c r="B256" s="150" t="str">
        <f t="shared" si="45"/>
        <v>IO1</v>
      </c>
      <c r="D256" t="s">
        <v>416</v>
      </c>
      <c r="E256">
        <f t="shared" ca="1" si="46"/>
        <v>0</v>
      </c>
      <c r="F256" t="e">
        <f t="shared" ca="1" si="54"/>
        <v>#REF!</v>
      </c>
      <c r="G256" t="s">
        <v>417</v>
      </c>
      <c r="H256" t="s">
        <v>421</v>
      </c>
      <c r="I256" t="e">
        <f t="shared" ca="1" si="47"/>
        <v>#REF!</v>
      </c>
      <c r="J256" t="e">
        <f t="shared" ca="1" si="48"/>
        <v>#REF!</v>
      </c>
      <c r="K256" t="s">
        <v>431</v>
      </c>
      <c r="L256" s="150" t="s">
        <v>423</v>
      </c>
      <c r="M256" s="150" t="s">
        <v>435</v>
      </c>
      <c r="N256" t="e">
        <f t="shared" ca="1" si="49"/>
        <v>#REF!</v>
      </c>
      <c r="O256" s="150" t="s">
        <v>412</v>
      </c>
      <c r="P256" s="150" t="s">
        <v>428</v>
      </c>
      <c r="Q256" s="150" t="s">
        <v>399</v>
      </c>
      <c r="R256" t="e">
        <f t="shared" ca="1" si="50"/>
        <v>#REF!</v>
      </c>
      <c r="S256" t="s">
        <v>398</v>
      </c>
      <c r="T256" t="s">
        <v>448</v>
      </c>
      <c r="U256" t="str">
        <f t="shared" ca="1" si="42"/>
        <v>Sheets("Master Data").Range("0" &amp; RowNo).Value</v>
      </c>
      <c r="V256" t="e">
        <f t="shared" ca="1" si="51"/>
        <v>#REF!</v>
      </c>
      <c r="X256" t="e">
        <f t="shared" ca="1" si="43"/>
        <v>#REF!</v>
      </c>
      <c r="Z256" t="e">
        <f t="shared" ca="1" si="44"/>
        <v>#REF!</v>
      </c>
      <c r="AB256" t="e">
        <f t="shared" ca="1" si="52"/>
        <v>#REF!</v>
      </c>
      <c r="AD256" t="e">
        <f t="shared" ca="1" si="53"/>
        <v>#REF!</v>
      </c>
    </row>
    <row r="257" spans="1:30" ht="15" x14ac:dyDescent="0.25">
      <c r="A257" s="150">
        <v>250</v>
      </c>
      <c r="B257" s="150" t="str">
        <f t="shared" si="45"/>
        <v>IP1</v>
      </c>
      <c r="D257" t="s">
        <v>416</v>
      </c>
      <c r="E257">
        <f t="shared" ca="1" si="46"/>
        <v>0</v>
      </c>
      <c r="F257" t="e">
        <f t="shared" ca="1" si="54"/>
        <v>#REF!</v>
      </c>
      <c r="G257" t="s">
        <v>417</v>
      </c>
      <c r="H257" t="s">
        <v>421</v>
      </c>
      <c r="I257" t="e">
        <f t="shared" ca="1" si="47"/>
        <v>#REF!</v>
      </c>
      <c r="J257" t="e">
        <f t="shared" ca="1" si="48"/>
        <v>#REF!</v>
      </c>
      <c r="K257" t="s">
        <v>431</v>
      </c>
      <c r="L257" s="150" t="s">
        <v>423</v>
      </c>
      <c r="M257" s="150" t="s">
        <v>435</v>
      </c>
      <c r="N257" t="e">
        <f t="shared" ca="1" si="49"/>
        <v>#REF!</v>
      </c>
      <c r="O257" s="150" t="s">
        <v>412</v>
      </c>
      <c r="P257" s="150" t="s">
        <v>428</v>
      </c>
      <c r="Q257" s="150" t="s">
        <v>399</v>
      </c>
      <c r="R257" t="e">
        <f t="shared" ca="1" si="50"/>
        <v>#REF!</v>
      </c>
      <c r="S257" t="s">
        <v>398</v>
      </c>
      <c r="T257" t="s">
        <v>448</v>
      </c>
      <c r="U257" t="str">
        <f t="shared" ca="1" si="42"/>
        <v>Sheets("Master Data").Range("0" &amp; RowNo).Value</v>
      </c>
      <c r="V257" t="e">
        <f t="shared" ca="1" si="51"/>
        <v>#REF!</v>
      </c>
      <c r="X257" t="e">
        <f t="shared" ca="1" si="43"/>
        <v>#REF!</v>
      </c>
      <c r="Z257" t="e">
        <f t="shared" ca="1" si="44"/>
        <v>#REF!</v>
      </c>
      <c r="AB257" t="e">
        <f t="shared" ca="1" si="52"/>
        <v>#REF!</v>
      </c>
      <c r="AD257" t="e">
        <f t="shared" ca="1" si="53"/>
        <v>#REF!</v>
      </c>
    </row>
    <row r="258" spans="1:30" ht="15" x14ac:dyDescent="0.25">
      <c r="A258" s="150">
        <v>251</v>
      </c>
      <c r="B258" s="150" t="str">
        <f t="shared" si="45"/>
        <v>IQ1</v>
      </c>
      <c r="D258" t="s">
        <v>416</v>
      </c>
      <c r="E258">
        <f t="shared" ca="1" si="46"/>
        <v>0</v>
      </c>
      <c r="F258" t="e">
        <f t="shared" ca="1" si="54"/>
        <v>#REF!</v>
      </c>
      <c r="G258" t="s">
        <v>417</v>
      </c>
      <c r="H258" t="s">
        <v>421</v>
      </c>
      <c r="I258" t="e">
        <f t="shared" ca="1" si="47"/>
        <v>#REF!</v>
      </c>
      <c r="J258" t="e">
        <f t="shared" ca="1" si="48"/>
        <v>#REF!</v>
      </c>
      <c r="K258" t="s">
        <v>431</v>
      </c>
      <c r="L258" s="150" t="s">
        <v>423</v>
      </c>
      <c r="M258" s="150" t="s">
        <v>435</v>
      </c>
      <c r="N258" t="e">
        <f t="shared" ca="1" si="49"/>
        <v>#REF!</v>
      </c>
      <c r="O258" s="150" t="s">
        <v>412</v>
      </c>
      <c r="P258" s="150" t="s">
        <v>428</v>
      </c>
      <c r="Q258" s="150" t="s">
        <v>399</v>
      </c>
      <c r="R258" t="e">
        <f t="shared" ca="1" si="50"/>
        <v>#REF!</v>
      </c>
      <c r="S258" t="s">
        <v>398</v>
      </c>
      <c r="T258" t="s">
        <v>448</v>
      </c>
      <c r="U258" t="str">
        <f t="shared" ca="1" si="42"/>
        <v>Sheets("Master Data").Range("0" &amp; RowNo).Value</v>
      </c>
      <c r="V258" t="e">
        <f t="shared" ca="1" si="51"/>
        <v>#REF!</v>
      </c>
      <c r="X258" t="e">
        <f t="shared" ca="1" si="43"/>
        <v>#REF!</v>
      </c>
      <c r="Z258" t="e">
        <f t="shared" ca="1" si="44"/>
        <v>#REF!</v>
      </c>
      <c r="AB258" t="e">
        <f t="shared" ca="1" si="52"/>
        <v>#REF!</v>
      </c>
      <c r="AD258" t="e">
        <f t="shared" ca="1" si="53"/>
        <v>#REF!</v>
      </c>
    </row>
    <row r="259" spans="1:30" ht="15" x14ac:dyDescent="0.25">
      <c r="A259" s="150">
        <v>252</v>
      </c>
      <c r="B259" s="150" t="str">
        <f t="shared" si="45"/>
        <v>IR1</v>
      </c>
      <c r="D259" t="s">
        <v>416</v>
      </c>
      <c r="E259">
        <f t="shared" ca="1" si="46"/>
        <v>0</v>
      </c>
      <c r="F259" t="e">
        <f t="shared" ca="1" si="54"/>
        <v>#REF!</v>
      </c>
      <c r="G259" t="s">
        <v>417</v>
      </c>
      <c r="H259" t="s">
        <v>421</v>
      </c>
      <c r="I259" t="e">
        <f t="shared" ca="1" si="47"/>
        <v>#REF!</v>
      </c>
      <c r="J259" t="e">
        <f t="shared" ca="1" si="48"/>
        <v>#REF!</v>
      </c>
      <c r="K259" t="s">
        <v>431</v>
      </c>
      <c r="L259" s="150" t="s">
        <v>423</v>
      </c>
      <c r="M259" s="150" t="s">
        <v>435</v>
      </c>
      <c r="N259" t="e">
        <f t="shared" ca="1" si="49"/>
        <v>#REF!</v>
      </c>
      <c r="O259" s="150" t="s">
        <v>412</v>
      </c>
      <c r="P259" s="150" t="s">
        <v>428</v>
      </c>
      <c r="Q259" s="150" t="s">
        <v>399</v>
      </c>
      <c r="R259" t="e">
        <f t="shared" ca="1" si="50"/>
        <v>#REF!</v>
      </c>
      <c r="S259" t="s">
        <v>398</v>
      </c>
      <c r="T259" t="s">
        <v>448</v>
      </c>
      <c r="U259" t="str">
        <f t="shared" ca="1" si="42"/>
        <v>Sheets("Master Data").Range("0" &amp; RowNo).Value</v>
      </c>
      <c r="V259" t="e">
        <f t="shared" ca="1" si="51"/>
        <v>#REF!</v>
      </c>
      <c r="X259" t="e">
        <f t="shared" ca="1" si="43"/>
        <v>#REF!</v>
      </c>
      <c r="Z259" t="e">
        <f t="shared" ca="1" si="44"/>
        <v>#REF!</v>
      </c>
      <c r="AB259" t="e">
        <f t="shared" ca="1" si="52"/>
        <v>#REF!</v>
      </c>
      <c r="AD259" t="e">
        <f t="shared" ca="1" si="53"/>
        <v>#REF!</v>
      </c>
    </row>
    <row r="260" spans="1:30" ht="15" x14ac:dyDescent="0.25">
      <c r="A260" s="150">
        <v>253</v>
      </c>
      <c r="B260" s="150" t="str">
        <f t="shared" si="45"/>
        <v>IS1</v>
      </c>
      <c r="D260" t="s">
        <v>416</v>
      </c>
      <c r="E260">
        <f t="shared" ca="1" si="46"/>
        <v>0</v>
      </c>
      <c r="F260" t="e">
        <f t="shared" ca="1" si="54"/>
        <v>#REF!</v>
      </c>
      <c r="G260" t="s">
        <v>417</v>
      </c>
      <c r="H260" t="s">
        <v>421</v>
      </c>
      <c r="I260" t="e">
        <f t="shared" ca="1" si="47"/>
        <v>#REF!</v>
      </c>
      <c r="J260" t="e">
        <f t="shared" ca="1" si="48"/>
        <v>#REF!</v>
      </c>
      <c r="K260" t="s">
        <v>431</v>
      </c>
      <c r="L260" s="150" t="s">
        <v>423</v>
      </c>
      <c r="M260" s="150" t="s">
        <v>435</v>
      </c>
      <c r="N260" t="e">
        <f t="shared" ca="1" si="49"/>
        <v>#REF!</v>
      </c>
      <c r="O260" s="150" t="s">
        <v>412</v>
      </c>
      <c r="P260" s="150" t="s">
        <v>428</v>
      </c>
      <c r="Q260" s="150" t="s">
        <v>399</v>
      </c>
      <c r="R260" t="e">
        <f t="shared" ca="1" si="50"/>
        <v>#REF!</v>
      </c>
      <c r="S260" t="s">
        <v>398</v>
      </c>
      <c r="T260" t="s">
        <v>448</v>
      </c>
      <c r="U260" t="str">
        <f t="shared" ca="1" si="42"/>
        <v>Sheets("Master Data").Range("0" &amp; RowNo).Value</v>
      </c>
      <c r="V260" t="e">
        <f t="shared" ca="1" si="51"/>
        <v>#REF!</v>
      </c>
      <c r="X260" t="e">
        <f t="shared" ca="1" si="43"/>
        <v>#REF!</v>
      </c>
      <c r="Z260" t="e">
        <f t="shared" ca="1" si="44"/>
        <v>#REF!</v>
      </c>
      <c r="AB260" t="e">
        <f t="shared" ca="1" si="52"/>
        <v>#REF!</v>
      </c>
      <c r="AD260" t="e">
        <f t="shared" ca="1" si="53"/>
        <v>#REF!</v>
      </c>
    </row>
    <row r="261" spans="1:30" ht="15" x14ac:dyDescent="0.25">
      <c r="A261" s="150">
        <v>254</v>
      </c>
      <c r="B261" s="150" t="str">
        <f t="shared" si="45"/>
        <v>IT1</v>
      </c>
      <c r="D261" t="s">
        <v>416</v>
      </c>
      <c r="E261">
        <f t="shared" ca="1" si="46"/>
        <v>0</v>
      </c>
      <c r="F261" t="e">
        <f t="shared" ca="1" si="54"/>
        <v>#REF!</v>
      </c>
      <c r="G261" t="s">
        <v>417</v>
      </c>
      <c r="H261" t="s">
        <v>421</v>
      </c>
      <c r="I261" t="e">
        <f t="shared" ca="1" si="47"/>
        <v>#REF!</v>
      </c>
      <c r="J261" t="e">
        <f t="shared" ca="1" si="48"/>
        <v>#REF!</v>
      </c>
      <c r="K261" t="s">
        <v>431</v>
      </c>
      <c r="L261" s="150" t="s">
        <v>423</v>
      </c>
      <c r="M261" s="150" t="s">
        <v>435</v>
      </c>
      <c r="N261" t="e">
        <f t="shared" ca="1" si="49"/>
        <v>#REF!</v>
      </c>
      <c r="O261" s="150" t="s">
        <v>412</v>
      </c>
      <c r="P261" s="150" t="s">
        <v>428</v>
      </c>
      <c r="Q261" s="150" t="s">
        <v>399</v>
      </c>
      <c r="R261" t="e">
        <f t="shared" ca="1" si="50"/>
        <v>#REF!</v>
      </c>
      <c r="S261" t="s">
        <v>398</v>
      </c>
      <c r="T261" t="s">
        <v>448</v>
      </c>
      <c r="U261" t="str">
        <f t="shared" ca="1" si="42"/>
        <v>Sheets("Master Data").Range("0" &amp; RowNo).Value</v>
      </c>
      <c r="V261" t="e">
        <f t="shared" ca="1" si="51"/>
        <v>#REF!</v>
      </c>
      <c r="X261" t="e">
        <f t="shared" ca="1" si="43"/>
        <v>#REF!</v>
      </c>
      <c r="Z261" t="e">
        <f t="shared" ca="1" si="44"/>
        <v>#REF!</v>
      </c>
      <c r="AB261" t="e">
        <f t="shared" ca="1" si="52"/>
        <v>#REF!</v>
      </c>
      <c r="AD261" t="e">
        <f t="shared" ca="1" si="53"/>
        <v>#REF!</v>
      </c>
    </row>
    <row r="262" spans="1:30" ht="15" x14ac:dyDescent="0.25">
      <c r="A262" s="150">
        <v>255</v>
      </c>
      <c r="B262" s="150" t="str">
        <f t="shared" si="45"/>
        <v>IU1</v>
      </c>
      <c r="D262" t="s">
        <v>416</v>
      </c>
      <c r="E262">
        <f t="shared" ca="1" si="46"/>
        <v>0</v>
      </c>
      <c r="F262" t="e">
        <f t="shared" ca="1" si="54"/>
        <v>#REF!</v>
      </c>
      <c r="G262" t="s">
        <v>417</v>
      </c>
      <c r="H262" t="s">
        <v>421</v>
      </c>
      <c r="I262" t="e">
        <f t="shared" ca="1" si="47"/>
        <v>#REF!</v>
      </c>
      <c r="J262" t="e">
        <f t="shared" ca="1" si="48"/>
        <v>#REF!</v>
      </c>
      <c r="K262" t="s">
        <v>431</v>
      </c>
      <c r="L262" s="150" t="s">
        <v>423</v>
      </c>
      <c r="M262" s="150" t="s">
        <v>435</v>
      </c>
      <c r="N262" t="e">
        <f t="shared" ca="1" si="49"/>
        <v>#REF!</v>
      </c>
      <c r="O262" s="150" t="s">
        <v>412</v>
      </c>
      <c r="P262" s="150" t="s">
        <v>428</v>
      </c>
      <c r="Q262" s="150" t="s">
        <v>399</v>
      </c>
      <c r="R262" t="e">
        <f t="shared" ca="1" si="50"/>
        <v>#REF!</v>
      </c>
      <c r="S262" t="s">
        <v>398</v>
      </c>
      <c r="T262" t="s">
        <v>448</v>
      </c>
      <c r="U262" t="str">
        <f t="shared" ca="1" si="42"/>
        <v>Sheets("Master Data").Range("0" &amp; RowNo).Value</v>
      </c>
      <c r="V262" t="e">
        <f t="shared" ca="1" si="51"/>
        <v>#REF!</v>
      </c>
      <c r="X262" t="e">
        <f t="shared" ca="1" si="43"/>
        <v>#REF!</v>
      </c>
      <c r="Z262" t="e">
        <f t="shared" ca="1" si="44"/>
        <v>#REF!</v>
      </c>
      <c r="AB262" t="e">
        <f t="shared" ca="1" si="52"/>
        <v>#REF!</v>
      </c>
      <c r="AD262" t="e">
        <f t="shared" ca="1" si="53"/>
        <v>#REF!</v>
      </c>
    </row>
    <row r="263" spans="1:30" ht="15" x14ac:dyDescent="0.25">
      <c r="A263" s="150">
        <v>256</v>
      </c>
      <c r="B263" s="150" t="str">
        <f t="shared" si="45"/>
        <v>IV1</v>
      </c>
      <c r="D263" t="s">
        <v>416</v>
      </c>
      <c r="E263">
        <f t="shared" ca="1" si="46"/>
        <v>0</v>
      </c>
      <c r="F263" t="e">
        <f t="shared" ca="1" si="54"/>
        <v>#REF!</v>
      </c>
      <c r="G263" t="s">
        <v>417</v>
      </c>
      <c r="H263" t="s">
        <v>421</v>
      </c>
      <c r="I263" t="e">
        <f t="shared" ca="1" si="47"/>
        <v>#REF!</v>
      </c>
      <c r="J263" t="e">
        <f t="shared" ca="1" si="48"/>
        <v>#REF!</v>
      </c>
      <c r="K263" t="s">
        <v>431</v>
      </c>
      <c r="L263" s="150" t="s">
        <v>423</v>
      </c>
      <c r="M263" s="150" t="s">
        <v>435</v>
      </c>
      <c r="N263" t="e">
        <f t="shared" ca="1" si="49"/>
        <v>#REF!</v>
      </c>
      <c r="O263" s="150" t="s">
        <v>412</v>
      </c>
      <c r="P263" s="150" t="s">
        <v>428</v>
      </c>
      <c r="Q263" s="150" t="s">
        <v>399</v>
      </c>
      <c r="R263" t="e">
        <f t="shared" ca="1" si="50"/>
        <v>#REF!</v>
      </c>
      <c r="S263" t="s">
        <v>398</v>
      </c>
      <c r="T263" t="s">
        <v>448</v>
      </c>
      <c r="U263" t="str">
        <f t="shared" ca="1" si="42"/>
        <v>Sheets("Master Data").Range("0" &amp; RowNo).Value</v>
      </c>
      <c r="V263" t="e">
        <f t="shared" ca="1" si="51"/>
        <v>#REF!</v>
      </c>
      <c r="X263" t="e">
        <f t="shared" ca="1" si="43"/>
        <v>#REF!</v>
      </c>
      <c r="Z263" t="e">
        <f t="shared" ca="1" si="44"/>
        <v>#REF!</v>
      </c>
      <c r="AB263" t="e">
        <f t="shared" ca="1" si="52"/>
        <v>#REF!</v>
      </c>
      <c r="AD263" t="e">
        <f t="shared" ca="1" si="53"/>
        <v>#REF!</v>
      </c>
    </row>
    <row r="264" spans="1:30" ht="15" x14ac:dyDescent="0.25">
      <c r="A264" s="150">
        <v>257</v>
      </c>
      <c r="B264" s="150" t="str">
        <f t="shared" si="45"/>
        <v>IW1</v>
      </c>
      <c r="D264" t="s">
        <v>416</v>
      </c>
      <c r="E264">
        <f t="shared" ca="1" si="46"/>
        <v>0</v>
      </c>
      <c r="F264" t="e">
        <f t="shared" ca="1" si="54"/>
        <v>#REF!</v>
      </c>
      <c r="G264" t="s">
        <v>417</v>
      </c>
      <c r="H264" t="s">
        <v>421</v>
      </c>
      <c r="I264" t="e">
        <f t="shared" ca="1" si="47"/>
        <v>#REF!</v>
      </c>
      <c r="J264" t="e">
        <f t="shared" ca="1" si="48"/>
        <v>#REF!</v>
      </c>
      <c r="K264" t="s">
        <v>431</v>
      </c>
      <c r="L264" s="150" t="s">
        <v>423</v>
      </c>
      <c r="M264" s="150" t="s">
        <v>435</v>
      </c>
      <c r="N264" t="e">
        <f t="shared" ca="1" si="49"/>
        <v>#REF!</v>
      </c>
      <c r="O264" s="150" t="s">
        <v>412</v>
      </c>
      <c r="P264" s="150" t="s">
        <v>428</v>
      </c>
      <c r="Q264" s="150" t="s">
        <v>399</v>
      </c>
      <c r="R264" t="e">
        <f t="shared" ca="1" si="50"/>
        <v>#REF!</v>
      </c>
      <c r="S264" t="s">
        <v>398</v>
      </c>
      <c r="T264" t="s">
        <v>448</v>
      </c>
      <c r="U264" t="str">
        <f t="shared" ref="U264:U327" ca="1" si="55">CONCATENATE(S264,L264,E264,L264,M264,K264,Q264)</f>
        <v>Sheets("Master Data").Range("0" &amp; RowNo).Value</v>
      </c>
      <c r="V264" t="e">
        <f t="shared" ca="1" si="51"/>
        <v>#REF!</v>
      </c>
      <c r="X264" t="e">
        <f t="shared" ref="X264:X327" ca="1" si="56">CONCATENATE(U264,O264,R264)</f>
        <v>#REF!</v>
      </c>
      <c r="Z264" t="e">
        <f t="shared" ref="Z264:Z327" ca="1" si="57">CONCATENATE(R264,O264,U264)</f>
        <v>#REF!</v>
      </c>
      <c r="AB264" t="e">
        <f t="shared" ca="1" si="52"/>
        <v>#REF!</v>
      </c>
      <c r="AD264" t="e">
        <f t="shared" ca="1" si="53"/>
        <v>#REF!</v>
      </c>
    </row>
    <row r="265" spans="1:30" ht="15" x14ac:dyDescent="0.25">
      <c r="A265" s="150">
        <v>258</v>
      </c>
      <c r="B265" s="150" t="str">
        <f t="shared" ref="B265:B328" si="58">ADDRESS(1, A265, 4)</f>
        <v>IX1</v>
      </c>
      <c r="D265" t="s">
        <v>416</v>
      </c>
      <c r="E265">
        <f t="shared" ref="E265:E328" ca="1" si="59">INDIRECT("'Master Data'!" &amp; B265)</f>
        <v>0</v>
      </c>
      <c r="F265" t="e">
        <f t="shared" ca="1" si="54"/>
        <v>#REF!</v>
      </c>
      <c r="G265" t="s">
        <v>417</v>
      </c>
      <c r="H265" t="s">
        <v>421</v>
      </c>
      <c r="I265" t="e">
        <f t="shared" ref="I265:I328" ca="1" si="60">SUBSTITUTE(INDIRECT("'Master Data'!" &amp; E265 &amp; 2),"$","")</f>
        <v>#REF!</v>
      </c>
      <c r="J265" t="e">
        <f t="shared" ref="J265:J328" ca="1" si="61">SUBSTITUTE(INDIRECT("'Master Data'!" &amp; E265 &amp; 3),"$","")</f>
        <v>#REF!</v>
      </c>
      <c r="K265" t="s">
        <v>431</v>
      </c>
      <c r="L265" s="150" t="s">
        <v>423</v>
      </c>
      <c r="M265" s="150" t="s">
        <v>435</v>
      </c>
      <c r="N265" t="e">
        <f t="shared" ref="N265:N328" ca="1" si="62">INDIRECT("'Master Data'!" &amp; E265 &amp; 3)</f>
        <v>#REF!</v>
      </c>
      <c r="O265" s="150" t="s">
        <v>412</v>
      </c>
      <c r="P265" s="150" t="s">
        <v>428</v>
      </c>
      <c r="Q265" s="150" t="s">
        <v>399</v>
      </c>
      <c r="R265" t="e">
        <f t="shared" ref="R265:R328" ca="1" si="63">CONCATENATE(P265,L265,I265,L265,Q265)</f>
        <v>#REF!</v>
      </c>
      <c r="S265" t="s">
        <v>398</v>
      </c>
      <c r="T265" t="s">
        <v>448</v>
      </c>
      <c r="U265" t="str">
        <f t="shared" ca="1" si="55"/>
        <v>Sheets("Master Data").Range("0" &amp; RowNo).Value</v>
      </c>
      <c r="V265" t="e">
        <f t="shared" ref="V265:V328" ca="1" si="64">CONCATENATE(T265,L265,J265,L265,Q265)</f>
        <v>#REF!</v>
      </c>
      <c r="X265" t="e">
        <f t="shared" ca="1" si="56"/>
        <v>#REF!</v>
      </c>
      <c r="Z265" t="e">
        <f t="shared" ca="1" si="57"/>
        <v>#REF!</v>
      </c>
      <c r="AB265" t="e">
        <f t="shared" ref="AB265:AB328" ca="1" si="65">CONCATENATE(V265,O265,R265)</f>
        <v>#REF!</v>
      </c>
      <c r="AD265" t="e">
        <f t="shared" ca="1" si="53"/>
        <v>#REF!</v>
      </c>
    </row>
    <row r="266" spans="1:30" ht="15" x14ac:dyDescent="0.25">
      <c r="A266" s="150">
        <v>259</v>
      </c>
      <c r="B266" s="150" t="str">
        <f t="shared" si="58"/>
        <v>IY1</v>
      </c>
      <c r="D266" t="s">
        <v>416</v>
      </c>
      <c r="E266">
        <f t="shared" ca="1" si="59"/>
        <v>0</v>
      </c>
      <c r="F266" t="e">
        <f t="shared" ca="1" si="54"/>
        <v>#REF!</v>
      </c>
      <c r="G266" t="s">
        <v>417</v>
      </c>
      <c r="H266" t="s">
        <v>421</v>
      </c>
      <c r="I266" t="e">
        <f t="shared" ca="1" si="60"/>
        <v>#REF!</v>
      </c>
      <c r="J266" t="e">
        <f t="shared" ca="1" si="61"/>
        <v>#REF!</v>
      </c>
      <c r="K266" t="s">
        <v>431</v>
      </c>
      <c r="L266" s="150" t="s">
        <v>423</v>
      </c>
      <c r="M266" s="150" t="s">
        <v>435</v>
      </c>
      <c r="N266" t="e">
        <f t="shared" ca="1" si="62"/>
        <v>#REF!</v>
      </c>
      <c r="O266" s="150" t="s">
        <v>412</v>
      </c>
      <c r="P266" s="150" t="s">
        <v>428</v>
      </c>
      <c r="Q266" s="150" t="s">
        <v>399</v>
      </c>
      <c r="R266" t="e">
        <f t="shared" ca="1" si="63"/>
        <v>#REF!</v>
      </c>
      <c r="S266" t="s">
        <v>398</v>
      </c>
      <c r="T266" t="s">
        <v>448</v>
      </c>
      <c r="U266" t="str">
        <f t="shared" ca="1" si="55"/>
        <v>Sheets("Master Data").Range("0" &amp; RowNo).Value</v>
      </c>
      <c r="V266" t="e">
        <f t="shared" ca="1" si="64"/>
        <v>#REF!</v>
      </c>
      <c r="X266" t="e">
        <f t="shared" ca="1" si="56"/>
        <v>#REF!</v>
      </c>
      <c r="Z266" t="e">
        <f t="shared" ca="1" si="57"/>
        <v>#REF!</v>
      </c>
      <c r="AB266" t="e">
        <f t="shared" ca="1" si="65"/>
        <v>#REF!</v>
      </c>
      <c r="AD266" t="e">
        <f t="shared" ca="1" si="53"/>
        <v>#REF!</v>
      </c>
    </row>
    <row r="267" spans="1:30" ht="15" x14ac:dyDescent="0.25">
      <c r="A267" s="150">
        <v>260</v>
      </c>
      <c r="B267" s="150" t="str">
        <f t="shared" si="58"/>
        <v>IZ1</v>
      </c>
      <c r="D267" t="s">
        <v>416</v>
      </c>
      <c r="E267">
        <f t="shared" ca="1" si="59"/>
        <v>0</v>
      </c>
      <c r="F267" t="e">
        <f t="shared" ca="1" si="54"/>
        <v>#REF!</v>
      </c>
      <c r="G267" t="s">
        <v>417</v>
      </c>
      <c r="H267" t="s">
        <v>421</v>
      </c>
      <c r="I267" t="e">
        <f t="shared" ca="1" si="60"/>
        <v>#REF!</v>
      </c>
      <c r="J267" t="e">
        <f t="shared" ca="1" si="61"/>
        <v>#REF!</v>
      </c>
      <c r="K267" t="s">
        <v>431</v>
      </c>
      <c r="L267" s="150" t="s">
        <v>423</v>
      </c>
      <c r="M267" s="150" t="s">
        <v>435</v>
      </c>
      <c r="N267" t="e">
        <f t="shared" ca="1" si="62"/>
        <v>#REF!</v>
      </c>
      <c r="O267" s="150" t="s">
        <v>412</v>
      </c>
      <c r="P267" s="150" t="s">
        <v>428</v>
      </c>
      <c r="Q267" s="150" t="s">
        <v>399</v>
      </c>
      <c r="R267" t="e">
        <f t="shared" ca="1" si="63"/>
        <v>#REF!</v>
      </c>
      <c r="S267" t="s">
        <v>398</v>
      </c>
      <c r="T267" t="s">
        <v>448</v>
      </c>
      <c r="U267" t="str">
        <f t="shared" ca="1" si="55"/>
        <v>Sheets("Master Data").Range("0" &amp; RowNo).Value</v>
      </c>
      <c r="V267" t="e">
        <f t="shared" ca="1" si="64"/>
        <v>#REF!</v>
      </c>
      <c r="X267" t="e">
        <f t="shared" ca="1" si="56"/>
        <v>#REF!</v>
      </c>
      <c r="Z267" t="e">
        <f t="shared" ca="1" si="57"/>
        <v>#REF!</v>
      </c>
      <c r="AB267" t="e">
        <f t="shared" ca="1" si="65"/>
        <v>#REF!</v>
      </c>
      <c r="AD267" t="e">
        <f t="shared" ca="1" si="53"/>
        <v>#REF!</v>
      </c>
    </row>
    <row r="268" spans="1:30" ht="15" x14ac:dyDescent="0.25">
      <c r="A268" s="150">
        <v>261</v>
      </c>
      <c r="B268" s="150" t="str">
        <f t="shared" si="58"/>
        <v>JA1</v>
      </c>
      <c r="D268" t="s">
        <v>416</v>
      </c>
      <c r="E268">
        <f t="shared" ca="1" si="59"/>
        <v>0</v>
      </c>
      <c r="F268" t="e">
        <f t="shared" ca="1" si="54"/>
        <v>#REF!</v>
      </c>
      <c r="G268" t="s">
        <v>417</v>
      </c>
      <c r="H268" t="s">
        <v>421</v>
      </c>
      <c r="I268" t="e">
        <f t="shared" ca="1" si="60"/>
        <v>#REF!</v>
      </c>
      <c r="J268" t="e">
        <f t="shared" ca="1" si="61"/>
        <v>#REF!</v>
      </c>
      <c r="K268" t="s">
        <v>431</v>
      </c>
      <c r="L268" s="150" t="s">
        <v>423</v>
      </c>
      <c r="M268" s="150" t="s">
        <v>435</v>
      </c>
      <c r="N268" t="e">
        <f t="shared" ca="1" si="62"/>
        <v>#REF!</v>
      </c>
      <c r="O268" s="150" t="s">
        <v>412</v>
      </c>
      <c r="P268" s="150" t="s">
        <v>428</v>
      </c>
      <c r="Q268" s="150" t="s">
        <v>399</v>
      </c>
      <c r="R268" t="e">
        <f t="shared" ca="1" si="63"/>
        <v>#REF!</v>
      </c>
      <c r="S268" t="s">
        <v>398</v>
      </c>
      <c r="T268" t="s">
        <v>448</v>
      </c>
      <c r="U268" t="str">
        <f t="shared" ca="1" si="55"/>
        <v>Sheets("Master Data").Range("0" &amp; RowNo).Value</v>
      </c>
      <c r="V268" t="e">
        <f t="shared" ca="1" si="64"/>
        <v>#REF!</v>
      </c>
      <c r="X268" t="e">
        <f t="shared" ca="1" si="56"/>
        <v>#REF!</v>
      </c>
      <c r="Z268" t="e">
        <f t="shared" ca="1" si="57"/>
        <v>#REF!</v>
      </c>
      <c r="AB268" t="e">
        <f t="shared" ca="1" si="65"/>
        <v>#REF!</v>
      </c>
      <c r="AD268" t="e">
        <f t="shared" ca="1" si="53"/>
        <v>#REF!</v>
      </c>
    </row>
    <row r="269" spans="1:30" ht="15" x14ac:dyDescent="0.25">
      <c r="A269" s="150">
        <v>262</v>
      </c>
      <c r="B269" s="150" t="str">
        <f t="shared" si="58"/>
        <v>JB1</v>
      </c>
      <c r="D269" t="s">
        <v>416</v>
      </c>
      <c r="E269">
        <f t="shared" ca="1" si="59"/>
        <v>0</v>
      </c>
      <c r="F269" t="e">
        <f t="shared" ca="1" si="54"/>
        <v>#REF!</v>
      </c>
      <c r="G269" t="s">
        <v>417</v>
      </c>
      <c r="H269" t="s">
        <v>421</v>
      </c>
      <c r="I269" t="e">
        <f t="shared" ca="1" si="60"/>
        <v>#REF!</v>
      </c>
      <c r="J269" t="e">
        <f t="shared" ca="1" si="61"/>
        <v>#REF!</v>
      </c>
      <c r="K269" t="s">
        <v>431</v>
      </c>
      <c r="L269" s="150" t="s">
        <v>423</v>
      </c>
      <c r="M269" s="150" t="s">
        <v>435</v>
      </c>
      <c r="N269" t="e">
        <f t="shared" ca="1" si="62"/>
        <v>#REF!</v>
      </c>
      <c r="O269" s="150" t="s">
        <v>412</v>
      </c>
      <c r="P269" s="150" t="s">
        <v>428</v>
      </c>
      <c r="Q269" s="150" t="s">
        <v>399</v>
      </c>
      <c r="R269" t="e">
        <f t="shared" ca="1" si="63"/>
        <v>#REF!</v>
      </c>
      <c r="S269" t="s">
        <v>398</v>
      </c>
      <c r="T269" t="s">
        <v>448</v>
      </c>
      <c r="U269" t="str">
        <f t="shared" ca="1" si="55"/>
        <v>Sheets("Master Data").Range("0" &amp; RowNo).Value</v>
      </c>
      <c r="V269" t="e">
        <f t="shared" ca="1" si="64"/>
        <v>#REF!</v>
      </c>
      <c r="X269" t="e">
        <f t="shared" ca="1" si="56"/>
        <v>#REF!</v>
      </c>
      <c r="Z269" t="e">
        <f t="shared" ca="1" si="57"/>
        <v>#REF!</v>
      </c>
      <c r="AB269" t="e">
        <f t="shared" ca="1" si="65"/>
        <v>#REF!</v>
      </c>
      <c r="AD269" t="e">
        <f t="shared" ca="1" si="53"/>
        <v>#REF!</v>
      </c>
    </row>
    <row r="270" spans="1:30" ht="15" x14ac:dyDescent="0.25">
      <c r="A270" s="150">
        <v>263</v>
      </c>
      <c r="B270" s="150" t="str">
        <f t="shared" si="58"/>
        <v>JC1</v>
      </c>
      <c r="D270" t="s">
        <v>416</v>
      </c>
      <c r="E270">
        <f t="shared" ca="1" si="59"/>
        <v>0</v>
      </c>
      <c r="F270" t="e">
        <f t="shared" ca="1" si="54"/>
        <v>#REF!</v>
      </c>
      <c r="G270" t="s">
        <v>417</v>
      </c>
      <c r="H270" t="s">
        <v>421</v>
      </c>
      <c r="I270" t="e">
        <f t="shared" ca="1" si="60"/>
        <v>#REF!</v>
      </c>
      <c r="J270" t="e">
        <f t="shared" ca="1" si="61"/>
        <v>#REF!</v>
      </c>
      <c r="K270" t="s">
        <v>431</v>
      </c>
      <c r="L270" s="150" t="s">
        <v>423</v>
      </c>
      <c r="M270" s="150" t="s">
        <v>435</v>
      </c>
      <c r="N270" t="e">
        <f t="shared" ca="1" si="62"/>
        <v>#REF!</v>
      </c>
      <c r="O270" s="150" t="s">
        <v>412</v>
      </c>
      <c r="P270" s="150" t="s">
        <v>428</v>
      </c>
      <c r="Q270" s="150" t="s">
        <v>399</v>
      </c>
      <c r="R270" t="e">
        <f t="shared" ca="1" si="63"/>
        <v>#REF!</v>
      </c>
      <c r="S270" t="s">
        <v>398</v>
      </c>
      <c r="T270" t="s">
        <v>448</v>
      </c>
      <c r="U270" t="str">
        <f t="shared" ca="1" si="55"/>
        <v>Sheets("Master Data").Range("0" &amp; RowNo).Value</v>
      </c>
      <c r="V270" t="e">
        <f t="shared" ca="1" si="64"/>
        <v>#REF!</v>
      </c>
      <c r="X270" t="e">
        <f t="shared" ca="1" si="56"/>
        <v>#REF!</v>
      </c>
      <c r="Z270" t="e">
        <f t="shared" ca="1" si="57"/>
        <v>#REF!</v>
      </c>
      <c r="AB270" t="e">
        <f t="shared" ca="1" si="65"/>
        <v>#REF!</v>
      </c>
      <c r="AD270" t="e">
        <f t="shared" ca="1" si="53"/>
        <v>#REF!</v>
      </c>
    </row>
    <row r="271" spans="1:30" ht="15" x14ac:dyDescent="0.25">
      <c r="A271" s="150">
        <v>264</v>
      </c>
      <c r="B271" s="150" t="str">
        <f t="shared" si="58"/>
        <v>JD1</v>
      </c>
      <c r="D271" t="s">
        <v>416</v>
      </c>
      <c r="E271">
        <f t="shared" ca="1" si="59"/>
        <v>0</v>
      </c>
      <c r="F271" t="e">
        <f t="shared" ca="1" si="54"/>
        <v>#REF!</v>
      </c>
      <c r="G271" t="s">
        <v>417</v>
      </c>
      <c r="H271" t="s">
        <v>421</v>
      </c>
      <c r="I271" t="e">
        <f t="shared" ca="1" si="60"/>
        <v>#REF!</v>
      </c>
      <c r="J271" t="e">
        <f t="shared" ca="1" si="61"/>
        <v>#REF!</v>
      </c>
      <c r="K271" t="s">
        <v>431</v>
      </c>
      <c r="L271" s="150" t="s">
        <v>423</v>
      </c>
      <c r="M271" s="150" t="s">
        <v>435</v>
      </c>
      <c r="N271" t="e">
        <f t="shared" ca="1" si="62"/>
        <v>#REF!</v>
      </c>
      <c r="O271" s="150" t="s">
        <v>412</v>
      </c>
      <c r="P271" s="150" t="s">
        <v>428</v>
      </c>
      <c r="Q271" s="150" t="s">
        <v>399</v>
      </c>
      <c r="R271" t="e">
        <f t="shared" ca="1" si="63"/>
        <v>#REF!</v>
      </c>
      <c r="S271" t="s">
        <v>398</v>
      </c>
      <c r="T271" t="s">
        <v>448</v>
      </c>
      <c r="U271" t="str">
        <f t="shared" ca="1" si="55"/>
        <v>Sheets("Master Data").Range("0" &amp; RowNo).Value</v>
      </c>
      <c r="V271" t="e">
        <f t="shared" ca="1" si="64"/>
        <v>#REF!</v>
      </c>
      <c r="X271" t="e">
        <f t="shared" ca="1" si="56"/>
        <v>#REF!</v>
      </c>
      <c r="Z271" t="e">
        <f t="shared" ca="1" si="57"/>
        <v>#REF!</v>
      </c>
      <c r="AB271" t="e">
        <f t="shared" ca="1" si="65"/>
        <v>#REF!</v>
      </c>
      <c r="AD271" t="e">
        <f t="shared" ca="1" si="53"/>
        <v>#REF!</v>
      </c>
    </row>
    <row r="272" spans="1:30" ht="15" x14ac:dyDescent="0.25">
      <c r="A272" s="150">
        <v>265</v>
      </c>
      <c r="B272" s="150" t="str">
        <f t="shared" si="58"/>
        <v>JE1</v>
      </c>
      <c r="D272" t="s">
        <v>416</v>
      </c>
      <c r="E272">
        <f t="shared" ca="1" si="59"/>
        <v>0</v>
      </c>
      <c r="F272" t="e">
        <f t="shared" ca="1" si="54"/>
        <v>#REF!</v>
      </c>
      <c r="G272" t="s">
        <v>417</v>
      </c>
      <c r="H272" t="s">
        <v>421</v>
      </c>
      <c r="I272" t="e">
        <f t="shared" ca="1" si="60"/>
        <v>#REF!</v>
      </c>
      <c r="J272" t="e">
        <f t="shared" ca="1" si="61"/>
        <v>#REF!</v>
      </c>
      <c r="K272" t="s">
        <v>431</v>
      </c>
      <c r="L272" s="150" t="s">
        <v>423</v>
      </c>
      <c r="M272" s="150" t="s">
        <v>435</v>
      </c>
      <c r="N272" t="e">
        <f t="shared" ca="1" si="62"/>
        <v>#REF!</v>
      </c>
      <c r="O272" s="150" t="s">
        <v>412</v>
      </c>
      <c r="P272" s="150" t="s">
        <v>428</v>
      </c>
      <c r="Q272" s="150" t="s">
        <v>399</v>
      </c>
      <c r="R272" t="e">
        <f t="shared" ca="1" si="63"/>
        <v>#REF!</v>
      </c>
      <c r="S272" t="s">
        <v>398</v>
      </c>
      <c r="T272" t="s">
        <v>448</v>
      </c>
      <c r="U272" t="str">
        <f t="shared" ca="1" si="55"/>
        <v>Sheets("Master Data").Range("0" &amp; RowNo).Value</v>
      </c>
      <c r="V272" t="e">
        <f t="shared" ca="1" si="64"/>
        <v>#REF!</v>
      </c>
      <c r="X272" t="e">
        <f t="shared" ca="1" si="56"/>
        <v>#REF!</v>
      </c>
      <c r="Z272" t="e">
        <f t="shared" ca="1" si="57"/>
        <v>#REF!</v>
      </c>
      <c r="AB272" t="e">
        <f t="shared" ca="1" si="65"/>
        <v>#REF!</v>
      </c>
      <c r="AD272" t="e">
        <f t="shared" ca="1" si="53"/>
        <v>#REF!</v>
      </c>
    </row>
    <row r="273" spans="1:30" ht="15" x14ac:dyDescent="0.25">
      <c r="A273" s="150">
        <v>266</v>
      </c>
      <c r="B273" s="150" t="str">
        <f t="shared" si="58"/>
        <v>JF1</v>
      </c>
      <c r="D273" t="s">
        <v>416</v>
      </c>
      <c r="E273">
        <f t="shared" ca="1" si="59"/>
        <v>0</v>
      </c>
      <c r="F273" t="e">
        <f t="shared" ca="1" si="54"/>
        <v>#REF!</v>
      </c>
      <c r="G273" t="s">
        <v>417</v>
      </c>
      <c r="H273" t="s">
        <v>421</v>
      </c>
      <c r="I273" t="e">
        <f t="shared" ca="1" si="60"/>
        <v>#REF!</v>
      </c>
      <c r="J273" t="e">
        <f t="shared" ca="1" si="61"/>
        <v>#REF!</v>
      </c>
      <c r="K273" t="s">
        <v>431</v>
      </c>
      <c r="L273" s="150" t="s">
        <v>423</v>
      </c>
      <c r="M273" s="150" t="s">
        <v>435</v>
      </c>
      <c r="N273" t="e">
        <f t="shared" ca="1" si="62"/>
        <v>#REF!</v>
      </c>
      <c r="O273" s="150" t="s">
        <v>412</v>
      </c>
      <c r="P273" s="150" t="s">
        <v>428</v>
      </c>
      <c r="Q273" s="150" t="s">
        <v>399</v>
      </c>
      <c r="R273" t="e">
        <f t="shared" ca="1" si="63"/>
        <v>#REF!</v>
      </c>
      <c r="S273" t="s">
        <v>398</v>
      </c>
      <c r="T273" t="s">
        <v>448</v>
      </c>
      <c r="U273" t="str">
        <f t="shared" ca="1" si="55"/>
        <v>Sheets("Master Data").Range("0" &amp; RowNo).Value</v>
      </c>
      <c r="V273" t="e">
        <f t="shared" ca="1" si="64"/>
        <v>#REF!</v>
      </c>
      <c r="X273" t="e">
        <f t="shared" ca="1" si="56"/>
        <v>#REF!</v>
      </c>
      <c r="Z273" t="e">
        <f t="shared" ca="1" si="57"/>
        <v>#REF!</v>
      </c>
      <c r="AB273" t="e">
        <f t="shared" ca="1" si="65"/>
        <v>#REF!</v>
      </c>
      <c r="AD273" t="e">
        <f t="shared" ref="AD273:AD336" ca="1" si="66">CONCATENATE(U273,O273,V273)</f>
        <v>#REF!</v>
      </c>
    </row>
    <row r="274" spans="1:30" ht="15" x14ac:dyDescent="0.25">
      <c r="A274" s="150">
        <v>267</v>
      </c>
      <c r="B274" s="150" t="str">
        <f t="shared" si="58"/>
        <v>JG1</v>
      </c>
      <c r="D274" t="s">
        <v>416</v>
      </c>
      <c r="E274">
        <f t="shared" ca="1" si="59"/>
        <v>0</v>
      </c>
      <c r="F274" t="e">
        <f t="shared" ca="1" si="54"/>
        <v>#REF!</v>
      </c>
      <c r="G274" t="s">
        <v>417</v>
      </c>
      <c r="H274" t="s">
        <v>421</v>
      </c>
      <c r="I274" t="e">
        <f t="shared" ca="1" si="60"/>
        <v>#REF!</v>
      </c>
      <c r="J274" t="e">
        <f t="shared" ca="1" si="61"/>
        <v>#REF!</v>
      </c>
      <c r="K274" t="s">
        <v>431</v>
      </c>
      <c r="L274" s="150" t="s">
        <v>423</v>
      </c>
      <c r="M274" s="150" t="s">
        <v>435</v>
      </c>
      <c r="N274" t="e">
        <f t="shared" ca="1" si="62"/>
        <v>#REF!</v>
      </c>
      <c r="O274" s="150" t="s">
        <v>412</v>
      </c>
      <c r="P274" s="150" t="s">
        <v>428</v>
      </c>
      <c r="Q274" s="150" t="s">
        <v>399</v>
      </c>
      <c r="R274" t="e">
        <f t="shared" ca="1" si="63"/>
        <v>#REF!</v>
      </c>
      <c r="S274" t="s">
        <v>398</v>
      </c>
      <c r="T274" t="s">
        <v>448</v>
      </c>
      <c r="U274" t="str">
        <f t="shared" ca="1" si="55"/>
        <v>Sheets("Master Data").Range("0" &amp; RowNo).Value</v>
      </c>
      <c r="V274" t="e">
        <f t="shared" ca="1" si="64"/>
        <v>#REF!</v>
      </c>
      <c r="X274" t="e">
        <f t="shared" ca="1" si="56"/>
        <v>#REF!</v>
      </c>
      <c r="Z274" t="e">
        <f t="shared" ca="1" si="57"/>
        <v>#REF!</v>
      </c>
      <c r="AB274" t="e">
        <f t="shared" ca="1" si="65"/>
        <v>#REF!</v>
      </c>
      <c r="AD274" t="e">
        <f t="shared" ca="1" si="66"/>
        <v>#REF!</v>
      </c>
    </row>
    <row r="275" spans="1:30" ht="15" x14ac:dyDescent="0.25">
      <c r="A275" s="150">
        <v>268</v>
      </c>
      <c r="B275" s="150" t="str">
        <f t="shared" si="58"/>
        <v>JH1</v>
      </c>
      <c r="D275" t="s">
        <v>416</v>
      </c>
      <c r="E275">
        <f t="shared" ca="1" si="59"/>
        <v>0</v>
      </c>
      <c r="F275" t="e">
        <f t="shared" ca="1" si="54"/>
        <v>#REF!</v>
      </c>
      <c r="G275" t="s">
        <v>417</v>
      </c>
      <c r="H275" t="s">
        <v>421</v>
      </c>
      <c r="I275" t="e">
        <f t="shared" ca="1" si="60"/>
        <v>#REF!</v>
      </c>
      <c r="J275" t="e">
        <f t="shared" ca="1" si="61"/>
        <v>#REF!</v>
      </c>
      <c r="K275" t="s">
        <v>431</v>
      </c>
      <c r="L275" s="150" t="s">
        <v>423</v>
      </c>
      <c r="M275" s="150" t="s">
        <v>435</v>
      </c>
      <c r="N275" t="e">
        <f t="shared" ca="1" si="62"/>
        <v>#REF!</v>
      </c>
      <c r="O275" s="150" t="s">
        <v>412</v>
      </c>
      <c r="P275" s="150" t="s">
        <v>428</v>
      </c>
      <c r="Q275" s="150" t="s">
        <v>399</v>
      </c>
      <c r="R275" t="e">
        <f t="shared" ca="1" si="63"/>
        <v>#REF!</v>
      </c>
      <c r="S275" t="s">
        <v>398</v>
      </c>
      <c r="T275" t="s">
        <v>448</v>
      </c>
      <c r="U275" t="str">
        <f t="shared" ca="1" si="55"/>
        <v>Sheets("Master Data").Range("0" &amp; RowNo).Value</v>
      </c>
      <c r="V275" t="e">
        <f t="shared" ca="1" si="64"/>
        <v>#REF!</v>
      </c>
      <c r="X275" t="e">
        <f t="shared" ca="1" si="56"/>
        <v>#REF!</v>
      </c>
      <c r="Z275" t="e">
        <f t="shared" ca="1" si="57"/>
        <v>#REF!</v>
      </c>
      <c r="AB275" t="e">
        <f t="shared" ca="1" si="65"/>
        <v>#REF!</v>
      </c>
      <c r="AD275" t="e">
        <f t="shared" ca="1" si="66"/>
        <v>#REF!</v>
      </c>
    </row>
    <row r="276" spans="1:30" ht="15" x14ac:dyDescent="0.25">
      <c r="A276" s="150">
        <v>269</v>
      </c>
      <c r="B276" s="150" t="str">
        <f t="shared" si="58"/>
        <v>JI1</v>
      </c>
      <c r="D276" t="s">
        <v>416</v>
      </c>
      <c r="E276">
        <f t="shared" ca="1" si="59"/>
        <v>0</v>
      </c>
      <c r="F276" t="e">
        <f t="shared" ref="F276:F339" ca="1" si="67">SUBSTITUTE(INDIRECT("'Master Data'!" &amp; E276 &amp; 4)," ","_")</f>
        <v>#REF!</v>
      </c>
      <c r="G276" t="s">
        <v>417</v>
      </c>
      <c r="H276" t="s">
        <v>421</v>
      </c>
      <c r="I276" t="e">
        <f t="shared" ca="1" si="60"/>
        <v>#REF!</v>
      </c>
      <c r="J276" t="e">
        <f t="shared" ca="1" si="61"/>
        <v>#REF!</v>
      </c>
      <c r="K276" t="s">
        <v>431</v>
      </c>
      <c r="L276" s="150" t="s">
        <v>423</v>
      </c>
      <c r="M276" s="150" t="s">
        <v>435</v>
      </c>
      <c r="N276" t="e">
        <f t="shared" ca="1" si="62"/>
        <v>#REF!</v>
      </c>
      <c r="O276" s="150" t="s">
        <v>412</v>
      </c>
      <c r="P276" s="150" t="s">
        <v>428</v>
      </c>
      <c r="Q276" s="150" t="s">
        <v>399</v>
      </c>
      <c r="R276" t="e">
        <f t="shared" ca="1" si="63"/>
        <v>#REF!</v>
      </c>
      <c r="S276" t="s">
        <v>398</v>
      </c>
      <c r="T276" t="s">
        <v>448</v>
      </c>
      <c r="U276" t="str">
        <f t="shared" ca="1" si="55"/>
        <v>Sheets("Master Data").Range("0" &amp; RowNo).Value</v>
      </c>
      <c r="V276" t="e">
        <f t="shared" ca="1" si="64"/>
        <v>#REF!</v>
      </c>
      <c r="X276" t="e">
        <f t="shared" ca="1" si="56"/>
        <v>#REF!</v>
      </c>
      <c r="Z276" t="e">
        <f t="shared" ca="1" si="57"/>
        <v>#REF!</v>
      </c>
      <c r="AB276" t="e">
        <f t="shared" ca="1" si="65"/>
        <v>#REF!</v>
      </c>
      <c r="AD276" t="e">
        <f t="shared" ca="1" si="66"/>
        <v>#REF!</v>
      </c>
    </row>
    <row r="277" spans="1:30" ht="15" x14ac:dyDescent="0.25">
      <c r="A277" s="150">
        <v>270</v>
      </c>
      <c r="B277" s="150" t="str">
        <f t="shared" si="58"/>
        <v>JJ1</v>
      </c>
      <c r="D277" t="s">
        <v>416</v>
      </c>
      <c r="E277">
        <f t="shared" ca="1" si="59"/>
        <v>0</v>
      </c>
      <c r="F277" t="e">
        <f t="shared" ca="1" si="67"/>
        <v>#REF!</v>
      </c>
      <c r="G277" t="s">
        <v>417</v>
      </c>
      <c r="H277" t="s">
        <v>421</v>
      </c>
      <c r="I277" t="e">
        <f t="shared" ca="1" si="60"/>
        <v>#REF!</v>
      </c>
      <c r="J277" t="e">
        <f t="shared" ca="1" si="61"/>
        <v>#REF!</v>
      </c>
      <c r="K277" t="s">
        <v>431</v>
      </c>
      <c r="L277" s="150" t="s">
        <v>423</v>
      </c>
      <c r="M277" s="150" t="s">
        <v>435</v>
      </c>
      <c r="N277" t="e">
        <f t="shared" ca="1" si="62"/>
        <v>#REF!</v>
      </c>
      <c r="O277" s="150" t="s">
        <v>412</v>
      </c>
      <c r="P277" s="150" t="s">
        <v>428</v>
      </c>
      <c r="Q277" s="150" t="s">
        <v>399</v>
      </c>
      <c r="R277" t="e">
        <f t="shared" ca="1" si="63"/>
        <v>#REF!</v>
      </c>
      <c r="S277" t="s">
        <v>398</v>
      </c>
      <c r="T277" t="s">
        <v>448</v>
      </c>
      <c r="U277" t="str">
        <f t="shared" ca="1" si="55"/>
        <v>Sheets("Master Data").Range("0" &amp; RowNo).Value</v>
      </c>
      <c r="V277" t="e">
        <f t="shared" ca="1" si="64"/>
        <v>#REF!</v>
      </c>
      <c r="X277" t="e">
        <f t="shared" ca="1" si="56"/>
        <v>#REF!</v>
      </c>
      <c r="Z277" t="e">
        <f t="shared" ca="1" si="57"/>
        <v>#REF!</v>
      </c>
      <c r="AB277" t="e">
        <f t="shared" ca="1" si="65"/>
        <v>#REF!</v>
      </c>
      <c r="AD277" t="e">
        <f t="shared" ca="1" si="66"/>
        <v>#REF!</v>
      </c>
    </row>
    <row r="278" spans="1:30" ht="15" x14ac:dyDescent="0.25">
      <c r="A278" s="150">
        <v>271</v>
      </c>
      <c r="B278" s="150" t="str">
        <f t="shared" si="58"/>
        <v>JK1</v>
      </c>
      <c r="D278" t="s">
        <v>416</v>
      </c>
      <c r="E278">
        <f t="shared" ca="1" si="59"/>
        <v>0</v>
      </c>
      <c r="F278" t="e">
        <f t="shared" ca="1" si="67"/>
        <v>#REF!</v>
      </c>
      <c r="G278" t="s">
        <v>417</v>
      </c>
      <c r="H278" t="s">
        <v>421</v>
      </c>
      <c r="I278" t="e">
        <f t="shared" ca="1" si="60"/>
        <v>#REF!</v>
      </c>
      <c r="J278" t="e">
        <f t="shared" ca="1" si="61"/>
        <v>#REF!</v>
      </c>
      <c r="K278" t="s">
        <v>431</v>
      </c>
      <c r="L278" s="150" t="s">
        <v>423</v>
      </c>
      <c r="M278" s="150" t="s">
        <v>435</v>
      </c>
      <c r="N278" t="e">
        <f t="shared" ca="1" si="62"/>
        <v>#REF!</v>
      </c>
      <c r="O278" s="150" t="s">
        <v>412</v>
      </c>
      <c r="P278" s="150" t="s">
        <v>428</v>
      </c>
      <c r="Q278" s="150" t="s">
        <v>399</v>
      </c>
      <c r="R278" t="e">
        <f t="shared" ca="1" si="63"/>
        <v>#REF!</v>
      </c>
      <c r="S278" t="s">
        <v>398</v>
      </c>
      <c r="T278" t="s">
        <v>448</v>
      </c>
      <c r="U278" t="str">
        <f t="shared" ca="1" si="55"/>
        <v>Sheets("Master Data").Range("0" &amp; RowNo).Value</v>
      </c>
      <c r="V278" t="e">
        <f t="shared" ca="1" si="64"/>
        <v>#REF!</v>
      </c>
      <c r="X278" t="e">
        <f t="shared" ca="1" si="56"/>
        <v>#REF!</v>
      </c>
      <c r="Z278" t="e">
        <f t="shared" ca="1" si="57"/>
        <v>#REF!</v>
      </c>
      <c r="AB278" t="e">
        <f t="shared" ca="1" si="65"/>
        <v>#REF!</v>
      </c>
      <c r="AD278" t="e">
        <f t="shared" ca="1" si="66"/>
        <v>#REF!</v>
      </c>
    </row>
    <row r="279" spans="1:30" ht="15" x14ac:dyDescent="0.25">
      <c r="A279" s="150">
        <v>272</v>
      </c>
      <c r="B279" s="150" t="str">
        <f t="shared" si="58"/>
        <v>JL1</v>
      </c>
      <c r="D279" t="s">
        <v>416</v>
      </c>
      <c r="E279">
        <f t="shared" ca="1" si="59"/>
        <v>0</v>
      </c>
      <c r="F279" t="e">
        <f t="shared" ca="1" si="67"/>
        <v>#REF!</v>
      </c>
      <c r="G279" t="s">
        <v>417</v>
      </c>
      <c r="H279" t="s">
        <v>421</v>
      </c>
      <c r="I279" t="e">
        <f t="shared" ca="1" si="60"/>
        <v>#REF!</v>
      </c>
      <c r="J279" t="e">
        <f t="shared" ca="1" si="61"/>
        <v>#REF!</v>
      </c>
      <c r="K279" t="s">
        <v>431</v>
      </c>
      <c r="L279" s="150" t="s">
        <v>423</v>
      </c>
      <c r="M279" s="150" t="s">
        <v>435</v>
      </c>
      <c r="N279" t="e">
        <f t="shared" ca="1" si="62"/>
        <v>#REF!</v>
      </c>
      <c r="O279" s="150" t="s">
        <v>412</v>
      </c>
      <c r="P279" s="150" t="s">
        <v>428</v>
      </c>
      <c r="Q279" s="150" t="s">
        <v>399</v>
      </c>
      <c r="R279" t="e">
        <f t="shared" ca="1" si="63"/>
        <v>#REF!</v>
      </c>
      <c r="S279" t="s">
        <v>398</v>
      </c>
      <c r="T279" t="s">
        <v>448</v>
      </c>
      <c r="U279" t="str">
        <f t="shared" ca="1" si="55"/>
        <v>Sheets("Master Data").Range("0" &amp; RowNo).Value</v>
      </c>
      <c r="V279" t="e">
        <f t="shared" ca="1" si="64"/>
        <v>#REF!</v>
      </c>
      <c r="X279" t="e">
        <f t="shared" ca="1" si="56"/>
        <v>#REF!</v>
      </c>
      <c r="Z279" t="e">
        <f t="shared" ca="1" si="57"/>
        <v>#REF!</v>
      </c>
      <c r="AB279" t="e">
        <f t="shared" ca="1" si="65"/>
        <v>#REF!</v>
      </c>
      <c r="AD279" t="e">
        <f t="shared" ca="1" si="66"/>
        <v>#REF!</v>
      </c>
    </row>
    <row r="280" spans="1:30" ht="15" x14ac:dyDescent="0.25">
      <c r="A280" s="150">
        <v>273</v>
      </c>
      <c r="B280" s="150" t="str">
        <f t="shared" si="58"/>
        <v>JM1</v>
      </c>
      <c r="D280" t="s">
        <v>416</v>
      </c>
      <c r="E280">
        <f t="shared" ca="1" si="59"/>
        <v>0</v>
      </c>
      <c r="F280" t="e">
        <f t="shared" ca="1" si="67"/>
        <v>#REF!</v>
      </c>
      <c r="G280" t="s">
        <v>417</v>
      </c>
      <c r="H280" t="s">
        <v>421</v>
      </c>
      <c r="I280" t="e">
        <f t="shared" ca="1" si="60"/>
        <v>#REF!</v>
      </c>
      <c r="J280" t="e">
        <f t="shared" ca="1" si="61"/>
        <v>#REF!</v>
      </c>
      <c r="K280" t="s">
        <v>431</v>
      </c>
      <c r="L280" s="150" t="s">
        <v>423</v>
      </c>
      <c r="M280" s="150" t="s">
        <v>435</v>
      </c>
      <c r="N280" t="e">
        <f t="shared" ca="1" si="62"/>
        <v>#REF!</v>
      </c>
      <c r="O280" s="150" t="s">
        <v>412</v>
      </c>
      <c r="P280" s="150" t="s">
        <v>428</v>
      </c>
      <c r="Q280" s="150" t="s">
        <v>399</v>
      </c>
      <c r="R280" t="e">
        <f t="shared" ca="1" si="63"/>
        <v>#REF!</v>
      </c>
      <c r="S280" t="s">
        <v>398</v>
      </c>
      <c r="T280" t="s">
        <v>448</v>
      </c>
      <c r="U280" t="str">
        <f t="shared" ca="1" si="55"/>
        <v>Sheets("Master Data").Range("0" &amp; RowNo).Value</v>
      </c>
      <c r="V280" t="e">
        <f t="shared" ca="1" si="64"/>
        <v>#REF!</v>
      </c>
      <c r="X280" t="e">
        <f t="shared" ca="1" si="56"/>
        <v>#REF!</v>
      </c>
      <c r="Z280" t="e">
        <f t="shared" ca="1" si="57"/>
        <v>#REF!</v>
      </c>
      <c r="AB280" t="e">
        <f t="shared" ca="1" si="65"/>
        <v>#REF!</v>
      </c>
      <c r="AD280" t="e">
        <f t="shared" ca="1" si="66"/>
        <v>#REF!</v>
      </c>
    </row>
    <row r="281" spans="1:30" ht="15" x14ac:dyDescent="0.25">
      <c r="A281" s="150">
        <v>274</v>
      </c>
      <c r="B281" s="150" t="str">
        <f t="shared" si="58"/>
        <v>JN1</v>
      </c>
      <c r="D281" t="s">
        <v>416</v>
      </c>
      <c r="E281">
        <f t="shared" ca="1" si="59"/>
        <v>0</v>
      </c>
      <c r="F281" t="e">
        <f t="shared" ca="1" si="67"/>
        <v>#REF!</v>
      </c>
      <c r="G281" t="s">
        <v>417</v>
      </c>
      <c r="H281" t="s">
        <v>421</v>
      </c>
      <c r="I281" t="e">
        <f t="shared" ca="1" si="60"/>
        <v>#REF!</v>
      </c>
      <c r="J281" t="e">
        <f t="shared" ca="1" si="61"/>
        <v>#REF!</v>
      </c>
      <c r="K281" t="s">
        <v>431</v>
      </c>
      <c r="L281" s="150" t="s">
        <v>423</v>
      </c>
      <c r="M281" s="150" t="s">
        <v>435</v>
      </c>
      <c r="N281" t="e">
        <f t="shared" ca="1" si="62"/>
        <v>#REF!</v>
      </c>
      <c r="O281" s="150" t="s">
        <v>412</v>
      </c>
      <c r="P281" s="150" t="s">
        <v>428</v>
      </c>
      <c r="Q281" s="150" t="s">
        <v>399</v>
      </c>
      <c r="R281" t="e">
        <f t="shared" ca="1" si="63"/>
        <v>#REF!</v>
      </c>
      <c r="S281" t="s">
        <v>398</v>
      </c>
      <c r="T281" t="s">
        <v>448</v>
      </c>
      <c r="U281" t="str">
        <f t="shared" ca="1" si="55"/>
        <v>Sheets("Master Data").Range("0" &amp; RowNo).Value</v>
      </c>
      <c r="V281" t="e">
        <f t="shared" ca="1" si="64"/>
        <v>#REF!</v>
      </c>
      <c r="X281" t="e">
        <f t="shared" ca="1" si="56"/>
        <v>#REF!</v>
      </c>
      <c r="Z281" t="e">
        <f t="shared" ca="1" si="57"/>
        <v>#REF!</v>
      </c>
      <c r="AB281" t="e">
        <f t="shared" ca="1" si="65"/>
        <v>#REF!</v>
      </c>
      <c r="AD281" t="e">
        <f t="shared" ca="1" si="66"/>
        <v>#REF!</v>
      </c>
    </row>
    <row r="282" spans="1:30" ht="15" x14ac:dyDescent="0.25">
      <c r="A282" s="150">
        <v>275</v>
      </c>
      <c r="B282" s="150" t="str">
        <f t="shared" si="58"/>
        <v>JO1</v>
      </c>
      <c r="D282" t="s">
        <v>416</v>
      </c>
      <c r="E282">
        <f t="shared" ca="1" si="59"/>
        <v>0</v>
      </c>
      <c r="F282" t="e">
        <f t="shared" ca="1" si="67"/>
        <v>#REF!</v>
      </c>
      <c r="G282" t="s">
        <v>417</v>
      </c>
      <c r="H282" t="s">
        <v>421</v>
      </c>
      <c r="I282" t="e">
        <f t="shared" ca="1" si="60"/>
        <v>#REF!</v>
      </c>
      <c r="J282" t="e">
        <f t="shared" ca="1" si="61"/>
        <v>#REF!</v>
      </c>
      <c r="K282" t="s">
        <v>431</v>
      </c>
      <c r="L282" s="150" t="s">
        <v>423</v>
      </c>
      <c r="M282" s="150" t="s">
        <v>435</v>
      </c>
      <c r="N282" t="e">
        <f t="shared" ca="1" si="62"/>
        <v>#REF!</v>
      </c>
      <c r="O282" s="150" t="s">
        <v>412</v>
      </c>
      <c r="P282" s="150" t="s">
        <v>428</v>
      </c>
      <c r="Q282" s="150" t="s">
        <v>399</v>
      </c>
      <c r="R282" t="e">
        <f t="shared" ca="1" si="63"/>
        <v>#REF!</v>
      </c>
      <c r="S282" t="s">
        <v>398</v>
      </c>
      <c r="T282" t="s">
        <v>448</v>
      </c>
      <c r="U282" t="str">
        <f t="shared" ca="1" si="55"/>
        <v>Sheets("Master Data").Range("0" &amp; RowNo).Value</v>
      </c>
      <c r="V282" t="e">
        <f t="shared" ca="1" si="64"/>
        <v>#REF!</v>
      </c>
      <c r="X282" t="e">
        <f t="shared" ca="1" si="56"/>
        <v>#REF!</v>
      </c>
      <c r="Z282" t="e">
        <f t="shared" ca="1" si="57"/>
        <v>#REF!</v>
      </c>
      <c r="AB282" t="e">
        <f t="shared" ca="1" si="65"/>
        <v>#REF!</v>
      </c>
      <c r="AD282" t="e">
        <f t="shared" ca="1" si="66"/>
        <v>#REF!</v>
      </c>
    </row>
    <row r="283" spans="1:30" ht="15" x14ac:dyDescent="0.25">
      <c r="A283" s="150">
        <v>276</v>
      </c>
      <c r="B283" s="150" t="str">
        <f t="shared" si="58"/>
        <v>JP1</v>
      </c>
      <c r="D283" t="s">
        <v>416</v>
      </c>
      <c r="E283">
        <f t="shared" ca="1" si="59"/>
        <v>0</v>
      </c>
      <c r="F283" t="e">
        <f t="shared" ca="1" si="67"/>
        <v>#REF!</v>
      </c>
      <c r="G283" t="s">
        <v>417</v>
      </c>
      <c r="H283" t="s">
        <v>421</v>
      </c>
      <c r="I283" t="e">
        <f t="shared" ca="1" si="60"/>
        <v>#REF!</v>
      </c>
      <c r="J283" t="e">
        <f t="shared" ca="1" si="61"/>
        <v>#REF!</v>
      </c>
      <c r="K283" t="s">
        <v>431</v>
      </c>
      <c r="L283" s="150" t="s">
        <v>423</v>
      </c>
      <c r="M283" s="150" t="s">
        <v>435</v>
      </c>
      <c r="N283" t="e">
        <f t="shared" ca="1" si="62"/>
        <v>#REF!</v>
      </c>
      <c r="O283" s="150" t="s">
        <v>412</v>
      </c>
      <c r="P283" s="150" t="s">
        <v>428</v>
      </c>
      <c r="Q283" s="150" t="s">
        <v>399</v>
      </c>
      <c r="R283" t="e">
        <f t="shared" ca="1" si="63"/>
        <v>#REF!</v>
      </c>
      <c r="S283" t="s">
        <v>398</v>
      </c>
      <c r="T283" t="s">
        <v>448</v>
      </c>
      <c r="U283" t="str">
        <f t="shared" ca="1" si="55"/>
        <v>Sheets("Master Data").Range("0" &amp; RowNo).Value</v>
      </c>
      <c r="V283" t="e">
        <f t="shared" ca="1" si="64"/>
        <v>#REF!</v>
      </c>
      <c r="X283" t="e">
        <f t="shared" ca="1" si="56"/>
        <v>#REF!</v>
      </c>
      <c r="Z283" t="e">
        <f t="shared" ca="1" si="57"/>
        <v>#REF!</v>
      </c>
      <c r="AB283" t="e">
        <f t="shared" ca="1" si="65"/>
        <v>#REF!</v>
      </c>
      <c r="AD283" t="e">
        <f t="shared" ca="1" si="66"/>
        <v>#REF!</v>
      </c>
    </row>
    <row r="284" spans="1:30" ht="15" x14ac:dyDescent="0.25">
      <c r="A284" s="150">
        <v>277</v>
      </c>
      <c r="B284" s="150" t="str">
        <f t="shared" si="58"/>
        <v>JQ1</v>
      </c>
      <c r="D284" t="s">
        <v>416</v>
      </c>
      <c r="E284">
        <f t="shared" ca="1" si="59"/>
        <v>0</v>
      </c>
      <c r="F284" t="e">
        <f t="shared" ca="1" si="67"/>
        <v>#REF!</v>
      </c>
      <c r="G284" t="s">
        <v>417</v>
      </c>
      <c r="H284" t="s">
        <v>421</v>
      </c>
      <c r="I284" t="e">
        <f t="shared" ca="1" si="60"/>
        <v>#REF!</v>
      </c>
      <c r="J284" t="e">
        <f t="shared" ca="1" si="61"/>
        <v>#REF!</v>
      </c>
      <c r="K284" t="s">
        <v>431</v>
      </c>
      <c r="L284" s="150" t="s">
        <v>423</v>
      </c>
      <c r="M284" s="150" t="s">
        <v>435</v>
      </c>
      <c r="N284" t="e">
        <f t="shared" ca="1" si="62"/>
        <v>#REF!</v>
      </c>
      <c r="O284" s="150" t="s">
        <v>412</v>
      </c>
      <c r="P284" s="150" t="s">
        <v>428</v>
      </c>
      <c r="Q284" s="150" t="s">
        <v>399</v>
      </c>
      <c r="R284" t="e">
        <f t="shared" ca="1" si="63"/>
        <v>#REF!</v>
      </c>
      <c r="S284" t="s">
        <v>398</v>
      </c>
      <c r="T284" t="s">
        <v>448</v>
      </c>
      <c r="U284" t="str">
        <f t="shared" ca="1" si="55"/>
        <v>Sheets("Master Data").Range("0" &amp; RowNo).Value</v>
      </c>
      <c r="V284" t="e">
        <f t="shared" ca="1" si="64"/>
        <v>#REF!</v>
      </c>
      <c r="X284" t="e">
        <f t="shared" ca="1" si="56"/>
        <v>#REF!</v>
      </c>
      <c r="Z284" t="e">
        <f t="shared" ca="1" si="57"/>
        <v>#REF!</v>
      </c>
      <c r="AB284" t="e">
        <f t="shared" ca="1" si="65"/>
        <v>#REF!</v>
      </c>
      <c r="AD284" t="e">
        <f t="shared" ca="1" si="66"/>
        <v>#REF!</v>
      </c>
    </row>
    <row r="285" spans="1:30" ht="15" x14ac:dyDescent="0.25">
      <c r="A285" s="150">
        <v>278</v>
      </c>
      <c r="B285" s="150" t="str">
        <f t="shared" si="58"/>
        <v>JR1</v>
      </c>
      <c r="D285" t="s">
        <v>416</v>
      </c>
      <c r="E285">
        <f t="shared" ca="1" si="59"/>
        <v>0</v>
      </c>
      <c r="F285" t="e">
        <f t="shared" ca="1" si="67"/>
        <v>#REF!</v>
      </c>
      <c r="G285" t="s">
        <v>417</v>
      </c>
      <c r="H285" t="s">
        <v>421</v>
      </c>
      <c r="I285" t="e">
        <f t="shared" ca="1" si="60"/>
        <v>#REF!</v>
      </c>
      <c r="J285" t="e">
        <f t="shared" ca="1" si="61"/>
        <v>#REF!</v>
      </c>
      <c r="K285" t="s">
        <v>431</v>
      </c>
      <c r="L285" s="150" t="s">
        <v>423</v>
      </c>
      <c r="M285" s="150" t="s">
        <v>435</v>
      </c>
      <c r="N285" t="e">
        <f t="shared" ca="1" si="62"/>
        <v>#REF!</v>
      </c>
      <c r="O285" s="150" t="s">
        <v>412</v>
      </c>
      <c r="P285" s="150" t="s">
        <v>428</v>
      </c>
      <c r="Q285" s="150" t="s">
        <v>399</v>
      </c>
      <c r="R285" t="e">
        <f t="shared" ca="1" si="63"/>
        <v>#REF!</v>
      </c>
      <c r="S285" t="s">
        <v>398</v>
      </c>
      <c r="T285" t="s">
        <v>448</v>
      </c>
      <c r="U285" t="str">
        <f t="shared" ca="1" si="55"/>
        <v>Sheets("Master Data").Range("0" &amp; RowNo).Value</v>
      </c>
      <c r="V285" t="e">
        <f t="shared" ca="1" si="64"/>
        <v>#REF!</v>
      </c>
      <c r="X285" t="e">
        <f t="shared" ca="1" si="56"/>
        <v>#REF!</v>
      </c>
      <c r="Z285" t="e">
        <f t="shared" ca="1" si="57"/>
        <v>#REF!</v>
      </c>
      <c r="AB285" t="e">
        <f t="shared" ca="1" si="65"/>
        <v>#REF!</v>
      </c>
      <c r="AD285" t="e">
        <f t="shared" ca="1" si="66"/>
        <v>#REF!</v>
      </c>
    </row>
    <row r="286" spans="1:30" ht="15" x14ac:dyDescent="0.25">
      <c r="A286" s="150">
        <v>279</v>
      </c>
      <c r="B286" s="150" t="str">
        <f t="shared" si="58"/>
        <v>JS1</v>
      </c>
      <c r="D286" t="s">
        <v>416</v>
      </c>
      <c r="E286">
        <f t="shared" ca="1" si="59"/>
        <v>0</v>
      </c>
      <c r="F286" t="e">
        <f t="shared" ca="1" si="67"/>
        <v>#REF!</v>
      </c>
      <c r="G286" t="s">
        <v>417</v>
      </c>
      <c r="H286" t="s">
        <v>421</v>
      </c>
      <c r="I286" t="e">
        <f t="shared" ca="1" si="60"/>
        <v>#REF!</v>
      </c>
      <c r="J286" t="e">
        <f t="shared" ca="1" si="61"/>
        <v>#REF!</v>
      </c>
      <c r="K286" t="s">
        <v>431</v>
      </c>
      <c r="L286" s="150" t="s">
        <v>423</v>
      </c>
      <c r="M286" s="150" t="s">
        <v>435</v>
      </c>
      <c r="N286" t="e">
        <f t="shared" ca="1" si="62"/>
        <v>#REF!</v>
      </c>
      <c r="O286" s="150" t="s">
        <v>412</v>
      </c>
      <c r="P286" s="150" t="s">
        <v>428</v>
      </c>
      <c r="Q286" s="150" t="s">
        <v>399</v>
      </c>
      <c r="R286" t="e">
        <f t="shared" ca="1" si="63"/>
        <v>#REF!</v>
      </c>
      <c r="S286" t="s">
        <v>398</v>
      </c>
      <c r="T286" t="s">
        <v>448</v>
      </c>
      <c r="U286" t="str">
        <f t="shared" ca="1" si="55"/>
        <v>Sheets("Master Data").Range("0" &amp; RowNo).Value</v>
      </c>
      <c r="V286" t="e">
        <f t="shared" ca="1" si="64"/>
        <v>#REF!</v>
      </c>
      <c r="X286" t="e">
        <f t="shared" ca="1" si="56"/>
        <v>#REF!</v>
      </c>
      <c r="Z286" t="e">
        <f t="shared" ca="1" si="57"/>
        <v>#REF!</v>
      </c>
      <c r="AB286" t="e">
        <f t="shared" ca="1" si="65"/>
        <v>#REF!</v>
      </c>
      <c r="AD286" t="e">
        <f t="shared" ca="1" si="66"/>
        <v>#REF!</v>
      </c>
    </row>
    <row r="287" spans="1:30" ht="15" x14ac:dyDescent="0.25">
      <c r="A287" s="150">
        <v>280</v>
      </c>
      <c r="B287" s="150" t="str">
        <f t="shared" si="58"/>
        <v>JT1</v>
      </c>
      <c r="D287" t="s">
        <v>416</v>
      </c>
      <c r="E287">
        <f t="shared" ca="1" si="59"/>
        <v>0</v>
      </c>
      <c r="F287" t="e">
        <f t="shared" ca="1" si="67"/>
        <v>#REF!</v>
      </c>
      <c r="G287" t="s">
        <v>417</v>
      </c>
      <c r="H287" t="s">
        <v>421</v>
      </c>
      <c r="I287" t="e">
        <f t="shared" ca="1" si="60"/>
        <v>#REF!</v>
      </c>
      <c r="J287" t="e">
        <f t="shared" ca="1" si="61"/>
        <v>#REF!</v>
      </c>
      <c r="K287" t="s">
        <v>431</v>
      </c>
      <c r="L287" s="150" t="s">
        <v>423</v>
      </c>
      <c r="M287" s="150" t="s">
        <v>435</v>
      </c>
      <c r="N287" t="e">
        <f t="shared" ca="1" si="62"/>
        <v>#REF!</v>
      </c>
      <c r="O287" s="150" t="s">
        <v>412</v>
      </c>
      <c r="P287" s="150" t="s">
        <v>428</v>
      </c>
      <c r="Q287" s="150" t="s">
        <v>399</v>
      </c>
      <c r="R287" t="e">
        <f t="shared" ca="1" si="63"/>
        <v>#REF!</v>
      </c>
      <c r="S287" t="s">
        <v>398</v>
      </c>
      <c r="T287" t="s">
        <v>448</v>
      </c>
      <c r="U287" t="str">
        <f t="shared" ca="1" si="55"/>
        <v>Sheets("Master Data").Range("0" &amp; RowNo).Value</v>
      </c>
      <c r="V287" t="e">
        <f t="shared" ca="1" si="64"/>
        <v>#REF!</v>
      </c>
      <c r="X287" t="e">
        <f t="shared" ca="1" si="56"/>
        <v>#REF!</v>
      </c>
      <c r="Z287" t="e">
        <f t="shared" ca="1" si="57"/>
        <v>#REF!</v>
      </c>
      <c r="AB287" t="e">
        <f t="shared" ca="1" si="65"/>
        <v>#REF!</v>
      </c>
      <c r="AD287" t="e">
        <f t="shared" ca="1" si="66"/>
        <v>#REF!</v>
      </c>
    </row>
    <row r="288" spans="1:30" ht="15" x14ac:dyDescent="0.25">
      <c r="A288" s="150">
        <v>281</v>
      </c>
      <c r="B288" s="150" t="str">
        <f t="shared" si="58"/>
        <v>JU1</v>
      </c>
      <c r="D288" t="s">
        <v>416</v>
      </c>
      <c r="E288">
        <f t="shared" ca="1" si="59"/>
        <v>0</v>
      </c>
      <c r="F288" t="e">
        <f t="shared" ca="1" si="67"/>
        <v>#REF!</v>
      </c>
      <c r="G288" t="s">
        <v>417</v>
      </c>
      <c r="H288" t="s">
        <v>421</v>
      </c>
      <c r="I288" t="e">
        <f t="shared" ca="1" si="60"/>
        <v>#REF!</v>
      </c>
      <c r="J288" t="e">
        <f t="shared" ca="1" si="61"/>
        <v>#REF!</v>
      </c>
      <c r="K288" t="s">
        <v>431</v>
      </c>
      <c r="L288" s="150" t="s">
        <v>423</v>
      </c>
      <c r="M288" s="150" t="s">
        <v>435</v>
      </c>
      <c r="N288" t="e">
        <f t="shared" ca="1" si="62"/>
        <v>#REF!</v>
      </c>
      <c r="O288" s="150" t="s">
        <v>412</v>
      </c>
      <c r="P288" s="150" t="s">
        <v>428</v>
      </c>
      <c r="Q288" s="150" t="s">
        <v>399</v>
      </c>
      <c r="R288" t="e">
        <f t="shared" ca="1" si="63"/>
        <v>#REF!</v>
      </c>
      <c r="S288" t="s">
        <v>398</v>
      </c>
      <c r="T288" t="s">
        <v>448</v>
      </c>
      <c r="U288" t="str">
        <f t="shared" ca="1" si="55"/>
        <v>Sheets("Master Data").Range("0" &amp; RowNo).Value</v>
      </c>
      <c r="V288" t="e">
        <f t="shared" ca="1" si="64"/>
        <v>#REF!</v>
      </c>
      <c r="X288" t="e">
        <f t="shared" ca="1" si="56"/>
        <v>#REF!</v>
      </c>
      <c r="Z288" t="e">
        <f t="shared" ca="1" si="57"/>
        <v>#REF!</v>
      </c>
      <c r="AB288" t="e">
        <f t="shared" ca="1" si="65"/>
        <v>#REF!</v>
      </c>
      <c r="AD288" t="e">
        <f t="shared" ca="1" si="66"/>
        <v>#REF!</v>
      </c>
    </row>
    <row r="289" spans="1:30" ht="15" x14ac:dyDescent="0.25">
      <c r="A289" s="150">
        <v>282</v>
      </c>
      <c r="B289" s="150" t="str">
        <f t="shared" si="58"/>
        <v>JV1</v>
      </c>
      <c r="D289" t="s">
        <v>416</v>
      </c>
      <c r="E289">
        <f t="shared" ca="1" si="59"/>
        <v>0</v>
      </c>
      <c r="F289" t="e">
        <f t="shared" ca="1" si="67"/>
        <v>#REF!</v>
      </c>
      <c r="G289" t="s">
        <v>417</v>
      </c>
      <c r="H289" t="s">
        <v>421</v>
      </c>
      <c r="I289" t="e">
        <f t="shared" ca="1" si="60"/>
        <v>#REF!</v>
      </c>
      <c r="J289" t="e">
        <f t="shared" ca="1" si="61"/>
        <v>#REF!</v>
      </c>
      <c r="K289" t="s">
        <v>431</v>
      </c>
      <c r="L289" s="150" t="s">
        <v>423</v>
      </c>
      <c r="M289" s="150" t="s">
        <v>435</v>
      </c>
      <c r="N289" t="e">
        <f t="shared" ca="1" si="62"/>
        <v>#REF!</v>
      </c>
      <c r="O289" s="150" t="s">
        <v>412</v>
      </c>
      <c r="P289" s="150" t="s">
        <v>428</v>
      </c>
      <c r="Q289" s="150" t="s">
        <v>399</v>
      </c>
      <c r="R289" t="e">
        <f t="shared" ca="1" si="63"/>
        <v>#REF!</v>
      </c>
      <c r="S289" t="s">
        <v>398</v>
      </c>
      <c r="T289" t="s">
        <v>448</v>
      </c>
      <c r="U289" t="str">
        <f t="shared" ca="1" si="55"/>
        <v>Sheets("Master Data").Range("0" &amp; RowNo).Value</v>
      </c>
      <c r="V289" t="e">
        <f t="shared" ca="1" si="64"/>
        <v>#REF!</v>
      </c>
      <c r="X289" t="e">
        <f t="shared" ca="1" si="56"/>
        <v>#REF!</v>
      </c>
      <c r="Z289" t="e">
        <f t="shared" ca="1" si="57"/>
        <v>#REF!</v>
      </c>
      <c r="AB289" t="e">
        <f t="shared" ca="1" si="65"/>
        <v>#REF!</v>
      </c>
      <c r="AD289" t="e">
        <f t="shared" ca="1" si="66"/>
        <v>#REF!</v>
      </c>
    </row>
    <row r="290" spans="1:30" ht="15" x14ac:dyDescent="0.25">
      <c r="A290" s="150">
        <v>283</v>
      </c>
      <c r="B290" s="150" t="str">
        <f t="shared" si="58"/>
        <v>JW1</v>
      </c>
      <c r="D290" t="s">
        <v>416</v>
      </c>
      <c r="E290">
        <f t="shared" ca="1" si="59"/>
        <v>0</v>
      </c>
      <c r="F290" t="e">
        <f t="shared" ca="1" si="67"/>
        <v>#REF!</v>
      </c>
      <c r="G290" t="s">
        <v>417</v>
      </c>
      <c r="H290" t="s">
        <v>421</v>
      </c>
      <c r="I290" t="e">
        <f t="shared" ca="1" si="60"/>
        <v>#REF!</v>
      </c>
      <c r="J290" t="e">
        <f t="shared" ca="1" si="61"/>
        <v>#REF!</v>
      </c>
      <c r="K290" t="s">
        <v>431</v>
      </c>
      <c r="L290" s="150" t="s">
        <v>423</v>
      </c>
      <c r="M290" s="150" t="s">
        <v>435</v>
      </c>
      <c r="N290" t="e">
        <f t="shared" ca="1" si="62"/>
        <v>#REF!</v>
      </c>
      <c r="O290" s="150" t="s">
        <v>412</v>
      </c>
      <c r="P290" s="150" t="s">
        <v>428</v>
      </c>
      <c r="Q290" s="150" t="s">
        <v>399</v>
      </c>
      <c r="R290" t="e">
        <f t="shared" ca="1" si="63"/>
        <v>#REF!</v>
      </c>
      <c r="S290" t="s">
        <v>398</v>
      </c>
      <c r="T290" t="s">
        <v>448</v>
      </c>
      <c r="U290" t="str">
        <f t="shared" ca="1" si="55"/>
        <v>Sheets("Master Data").Range("0" &amp; RowNo).Value</v>
      </c>
      <c r="V290" t="e">
        <f t="shared" ca="1" si="64"/>
        <v>#REF!</v>
      </c>
      <c r="X290" t="e">
        <f t="shared" ca="1" si="56"/>
        <v>#REF!</v>
      </c>
      <c r="Z290" t="e">
        <f t="shared" ca="1" si="57"/>
        <v>#REF!</v>
      </c>
      <c r="AB290" t="e">
        <f t="shared" ca="1" si="65"/>
        <v>#REF!</v>
      </c>
      <c r="AD290" t="e">
        <f t="shared" ca="1" si="66"/>
        <v>#REF!</v>
      </c>
    </row>
    <row r="291" spans="1:30" ht="15" x14ac:dyDescent="0.25">
      <c r="A291" s="150">
        <v>284</v>
      </c>
      <c r="B291" s="150" t="str">
        <f t="shared" si="58"/>
        <v>JX1</v>
      </c>
      <c r="D291" t="s">
        <v>416</v>
      </c>
      <c r="E291">
        <f t="shared" ca="1" si="59"/>
        <v>0</v>
      </c>
      <c r="F291" t="e">
        <f t="shared" ca="1" si="67"/>
        <v>#REF!</v>
      </c>
      <c r="G291" t="s">
        <v>417</v>
      </c>
      <c r="H291" t="s">
        <v>421</v>
      </c>
      <c r="I291" t="e">
        <f t="shared" ca="1" si="60"/>
        <v>#REF!</v>
      </c>
      <c r="J291" t="e">
        <f t="shared" ca="1" si="61"/>
        <v>#REF!</v>
      </c>
      <c r="K291" t="s">
        <v>431</v>
      </c>
      <c r="L291" s="150" t="s">
        <v>423</v>
      </c>
      <c r="M291" s="150" t="s">
        <v>435</v>
      </c>
      <c r="N291" t="e">
        <f t="shared" ca="1" si="62"/>
        <v>#REF!</v>
      </c>
      <c r="O291" s="150" t="s">
        <v>412</v>
      </c>
      <c r="P291" s="150" t="s">
        <v>428</v>
      </c>
      <c r="Q291" s="150" t="s">
        <v>399</v>
      </c>
      <c r="R291" t="e">
        <f t="shared" ca="1" si="63"/>
        <v>#REF!</v>
      </c>
      <c r="S291" t="s">
        <v>398</v>
      </c>
      <c r="T291" t="s">
        <v>448</v>
      </c>
      <c r="U291" t="str">
        <f t="shared" ca="1" si="55"/>
        <v>Sheets("Master Data").Range("0" &amp; RowNo).Value</v>
      </c>
      <c r="V291" t="e">
        <f t="shared" ca="1" si="64"/>
        <v>#REF!</v>
      </c>
      <c r="X291" t="e">
        <f t="shared" ca="1" si="56"/>
        <v>#REF!</v>
      </c>
      <c r="Z291" t="e">
        <f t="shared" ca="1" si="57"/>
        <v>#REF!</v>
      </c>
      <c r="AB291" t="e">
        <f t="shared" ca="1" si="65"/>
        <v>#REF!</v>
      </c>
      <c r="AD291" t="e">
        <f t="shared" ca="1" si="66"/>
        <v>#REF!</v>
      </c>
    </row>
    <row r="292" spans="1:30" ht="15" x14ac:dyDescent="0.25">
      <c r="A292" s="150">
        <v>285</v>
      </c>
      <c r="B292" s="150" t="str">
        <f t="shared" si="58"/>
        <v>JY1</v>
      </c>
      <c r="D292" t="s">
        <v>416</v>
      </c>
      <c r="E292">
        <f t="shared" ca="1" si="59"/>
        <v>0</v>
      </c>
      <c r="F292" t="e">
        <f t="shared" ca="1" si="67"/>
        <v>#REF!</v>
      </c>
      <c r="G292" t="s">
        <v>417</v>
      </c>
      <c r="H292" t="s">
        <v>421</v>
      </c>
      <c r="I292" t="e">
        <f t="shared" ca="1" si="60"/>
        <v>#REF!</v>
      </c>
      <c r="J292" t="e">
        <f t="shared" ca="1" si="61"/>
        <v>#REF!</v>
      </c>
      <c r="K292" t="s">
        <v>431</v>
      </c>
      <c r="L292" s="150" t="s">
        <v>423</v>
      </c>
      <c r="M292" s="150" t="s">
        <v>435</v>
      </c>
      <c r="N292" t="e">
        <f t="shared" ca="1" si="62"/>
        <v>#REF!</v>
      </c>
      <c r="O292" s="150" t="s">
        <v>412</v>
      </c>
      <c r="P292" s="150" t="s">
        <v>428</v>
      </c>
      <c r="Q292" s="150" t="s">
        <v>399</v>
      </c>
      <c r="R292" t="e">
        <f t="shared" ca="1" si="63"/>
        <v>#REF!</v>
      </c>
      <c r="S292" t="s">
        <v>398</v>
      </c>
      <c r="T292" t="s">
        <v>448</v>
      </c>
      <c r="U292" t="str">
        <f t="shared" ca="1" si="55"/>
        <v>Sheets("Master Data").Range("0" &amp; RowNo).Value</v>
      </c>
      <c r="V292" t="e">
        <f t="shared" ca="1" si="64"/>
        <v>#REF!</v>
      </c>
      <c r="X292" t="e">
        <f t="shared" ca="1" si="56"/>
        <v>#REF!</v>
      </c>
      <c r="Z292" t="e">
        <f t="shared" ca="1" si="57"/>
        <v>#REF!</v>
      </c>
      <c r="AB292" t="e">
        <f t="shared" ca="1" si="65"/>
        <v>#REF!</v>
      </c>
      <c r="AD292" t="e">
        <f t="shared" ca="1" si="66"/>
        <v>#REF!</v>
      </c>
    </row>
    <row r="293" spans="1:30" ht="15" x14ac:dyDescent="0.25">
      <c r="A293" s="150">
        <v>286</v>
      </c>
      <c r="B293" s="150" t="str">
        <f t="shared" si="58"/>
        <v>JZ1</v>
      </c>
      <c r="D293" t="s">
        <v>416</v>
      </c>
      <c r="E293">
        <f t="shared" ca="1" si="59"/>
        <v>0</v>
      </c>
      <c r="F293" t="e">
        <f t="shared" ca="1" si="67"/>
        <v>#REF!</v>
      </c>
      <c r="G293" t="s">
        <v>417</v>
      </c>
      <c r="H293" t="s">
        <v>421</v>
      </c>
      <c r="I293" t="e">
        <f t="shared" ca="1" si="60"/>
        <v>#REF!</v>
      </c>
      <c r="J293" t="e">
        <f t="shared" ca="1" si="61"/>
        <v>#REF!</v>
      </c>
      <c r="K293" t="s">
        <v>431</v>
      </c>
      <c r="L293" s="150" t="s">
        <v>423</v>
      </c>
      <c r="M293" s="150" t="s">
        <v>435</v>
      </c>
      <c r="N293" t="e">
        <f t="shared" ca="1" si="62"/>
        <v>#REF!</v>
      </c>
      <c r="O293" s="150" t="s">
        <v>412</v>
      </c>
      <c r="P293" s="150" t="s">
        <v>428</v>
      </c>
      <c r="Q293" s="150" t="s">
        <v>399</v>
      </c>
      <c r="R293" t="e">
        <f t="shared" ca="1" si="63"/>
        <v>#REF!</v>
      </c>
      <c r="S293" t="s">
        <v>398</v>
      </c>
      <c r="T293" t="s">
        <v>448</v>
      </c>
      <c r="U293" t="str">
        <f t="shared" ca="1" si="55"/>
        <v>Sheets("Master Data").Range("0" &amp; RowNo).Value</v>
      </c>
      <c r="V293" t="e">
        <f t="shared" ca="1" si="64"/>
        <v>#REF!</v>
      </c>
      <c r="X293" t="e">
        <f t="shared" ca="1" si="56"/>
        <v>#REF!</v>
      </c>
      <c r="Z293" t="e">
        <f t="shared" ca="1" si="57"/>
        <v>#REF!</v>
      </c>
      <c r="AB293" t="e">
        <f t="shared" ca="1" si="65"/>
        <v>#REF!</v>
      </c>
      <c r="AD293" t="e">
        <f t="shared" ca="1" si="66"/>
        <v>#REF!</v>
      </c>
    </row>
    <row r="294" spans="1:30" ht="15" x14ac:dyDescent="0.25">
      <c r="A294" s="150">
        <v>287</v>
      </c>
      <c r="B294" s="150" t="str">
        <f t="shared" si="58"/>
        <v>KA1</v>
      </c>
      <c r="D294" t="s">
        <v>416</v>
      </c>
      <c r="E294">
        <f t="shared" ca="1" si="59"/>
        <v>0</v>
      </c>
      <c r="F294" t="e">
        <f t="shared" ca="1" si="67"/>
        <v>#REF!</v>
      </c>
      <c r="G294" t="s">
        <v>417</v>
      </c>
      <c r="H294" t="s">
        <v>421</v>
      </c>
      <c r="I294" t="e">
        <f t="shared" ca="1" si="60"/>
        <v>#REF!</v>
      </c>
      <c r="J294" t="e">
        <f t="shared" ca="1" si="61"/>
        <v>#REF!</v>
      </c>
      <c r="K294" t="s">
        <v>431</v>
      </c>
      <c r="L294" s="150" t="s">
        <v>423</v>
      </c>
      <c r="M294" s="150" t="s">
        <v>435</v>
      </c>
      <c r="N294" t="e">
        <f t="shared" ca="1" si="62"/>
        <v>#REF!</v>
      </c>
      <c r="O294" s="150" t="s">
        <v>412</v>
      </c>
      <c r="P294" s="150" t="s">
        <v>428</v>
      </c>
      <c r="Q294" s="150" t="s">
        <v>399</v>
      </c>
      <c r="R294" t="e">
        <f t="shared" ca="1" si="63"/>
        <v>#REF!</v>
      </c>
      <c r="S294" t="s">
        <v>398</v>
      </c>
      <c r="T294" t="s">
        <v>448</v>
      </c>
      <c r="U294" t="str">
        <f t="shared" ca="1" si="55"/>
        <v>Sheets("Master Data").Range("0" &amp; RowNo).Value</v>
      </c>
      <c r="V294" t="e">
        <f t="shared" ca="1" si="64"/>
        <v>#REF!</v>
      </c>
      <c r="X294" t="e">
        <f t="shared" ca="1" si="56"/>
        <v>#REF!</v>
      </c>
      <c r="Z294" t="e">
        <f t="shared" ca="1" si="57"/>
        <v>#REF!</v>
      </c>
      <c r="AB294" t="e">
        <f t="shared" ca="1" si="65"/>
        <v>#REF!</v>
      </c>
      <c r="AD294" t="e">
        <f t="shared" ca="1" si="66"/>
        <v>#REF!</v>
      </c>
    </row>
    <row r="295" spans="1:30" ht="15" x14ac:dyDescent="0.25">
      <c r="A295" s="150">
        <v>288</v>
      </c>
      <c r="B295" s="150" t="str">
        <f t="shared" si="58"/>
        <v>KB1</v>
      </c>
      <c r="D295" t="s">
        <v>416</v>
      </c>
      <c r="E295">
        <f t="shared" ca="1" si="59"/>
        <v>0</v>
      </c>
      <c r="F295" t="e">
        <f t="shared" ca="1" si="67"/>
        <v>#REF!</v>
      </c>
      <c r="G295" t="s">
        <v>417</v>
      </c>
      <c r="H295" t="s">
        <v>421</v>
      </c>
      <c r="I295" t="e">
        <f t="shared" ca="1" si="60"/>
        <v>#REF!</v>
      </c>
      <c r="J295" t="e">
        <f t="shared" ca="1" si="61"/>
        <v>#REF!</v>
      </c>
      <c r="K295" t="s">
        <v>431</v>
      </c>
      <c r="L295" s="150" t="s">
        <v>423</v>
      </c>
      <c r="M295" s="150" t="s">
        <v>435</v>
      </c>
      <c r="N295" t="e">
        <f t="shared" ca="1" si="62"/>
        <v>#REF!</v>
      </c>
      <c r="O295" s="150" t="s">
        <v>412</v>
      </c>
      <c r="P295" s="150" t="s">
        <v>428</v>
      </c>
      <c r="Q295" s="150" t="s">
        <v>399</v>
      </c>
      <c r="R295" t="e">
        <f t="shared" ca="1" si="63"/>
        <v>#REF!</v>
      </c>
      <c r="S295" t="s">
        <v>398</v>
      </c>
      <c r="T295" t="s">
        <v>448</v>
      </c>
      <c r="U295" t="str">
        <f t="shared" ca="1" si="55"/>
        <v>Sheets("Master Data").Range("0" &amp; RowNo).Value</v>
      </c>
      <c r="V295" t="e">
        <f t="shared" ca="1" si="64"/>
        <v>#REF!</v>
      </c>
      <c r="X295" t="e">
        <f t="shared" ca="1" si="56"/>
        <v>#REF!</v>
      </c>
      <c r="Z295" t="e">
        <f t="shared" ca="1" si="57"/>
        <v>#REF!</v>
      </c>
      <c r="AB295" t="e">
        <f t="shared" ca="1" si="65"/>
        <v>#REF!</v>
      </c>
      <c r="AD295" t="e">
        <f t="shared" ca="1" si="66"/>
        <v>#REF!</v>
      </c>
    </row>
    <row r="296" spans="1:30" ht="15" x14ac:dyDescent="0.25">
      <c r="A296" s="150">
        <v>289</v>
      </c>
      <c r="B296" s="150" t="str">
        <f t="shared" si="58"/>
        <v>KC1</v>
      </c>
      <c r="D296" t="s">
        <v>416</v>
      </c>
      <c r="E296">
        <f t="shared" ca="1" si="59"/>
        <v>0</v>
      </c>
      <c r="F296" t="e">
        <f t="shared" ca="1" si="67"/>
        <v>#REF!</v>
      </c>
      <c r="G296" t="s">
        <v>417</v>
      </c>
      <c r="H296" t="s">
        <v>421</v>
      </c>
      <c r="I296" t="e">
        <f t="shared" ca="1" si="60"/>
        <v>#REF!</v>
      </c>
      <c r="J296" t="e">
        <f t="shared" ca="1" si="61"/>
        <v>#REF!</v>
      </c>
      <c r="K296" t="s">
        <v>431</v>
      </c>
      <c r="L296" s="150" t="s">
        <v>423</v>
      </c>
      <c r="M296" s="150" t="s">
        <v>435</v>
      </c>
      <c r="N296" t="e">
        <f t="shared" ca="1" si="62"/>
        <v>#REF!</v>
      </c>
      <c r="O296" s="150" t="s">
        <v>412</v>
      </c>
      <c r="P296" s="150" t="s">
        <v>428</v>
      </c>
      <c r="Q296" s="150" t="s">
        <v>399</v>
      </c>
      <c r="R296" t="e">
        <f t="shared" ca="1" si="63"/>
        <v>#REF!</v>
      </c>
      <c r="S296" t="s">
        <v>398</v>
      </c>
      <c r="T296" t="s">
        <v>448</v>
      </c>
      <c r="U296" t="str">
        <f t="shared" ca="1" si="55"/>
        <v>Sheets("Master Data").Range("0" &amp; RowNo).Value</v>
      </c>
      <c r="V296" t="e">
        <f t="shared" ca="1" si="64"/>
        <v>#REF!</v>
      </c>
      <c r="X296" t="e">
        <f t="shared" ca="1" si="56"/>
        <v>#REF!</v>
      </c>
      <c r="Z296" t="e">
        <f t="shared" ca="1" si="57"/>
        <v>#REF!</v>
      </c>
      <c r="AB296" t="e">
        <f t="shared" ca="1" si="65"/>
        <v>#REF!</v>
      </c>
      <c r="AD296" t="e">
        <f t="shared" ca="1" si="66"/>
        <v>#REF!</v>
      </c>
    </row>
    <row r="297" spans="1:30" ht="15" x14ac:dyDescent="0.25">
      <c r="A297" s="150">
        <v>290</v>
      </c>
      <c r="B297" s="150" t="str">
        <f t="shared" si="58"/>
        <v>KD1</v>
      </c>
      <c r="D297" t="s">
        <v>416</v>
      </c>
      <c r="E297">
        <f t="shared" ca="1" si="59"/>
        <v>0</v>
      </c>
      <c r="F297" t="e">
        <f t="shared" ca="1" si="67"/>
        <v>#REF!</v>
      </c>
      <c r="G297" t="s">
        <v>417</v>
      </c>
      <c r="H297" t="s">
        <v>421</v>
      </c>
      <c r="I297" t="e">
        <f t="shared" ca="1" si="60"/>
        <v>#REF!</v>
      </c>
      <c r="J297" t="e">
        <f t="shared" ca="1" si="61"/>
        <v>#REF!</v>
      </c>
      <c r="K297" t="s">
        <v>431</v>
      </c>
      <c r="L297" s="150" t="s">
        <v>423</v>
      </c>
      <c r="M297" s="150" t="s">
        <v>435</v>
      </c>
      <c r="N297" t="e">
        <f t="shared" ca="1" si="62"/>
        <v>#REF!</v>
      </c>
      <c r="O297" s="150" t="s">
        <v>412</v>
      </c>
      <c r="P297" s="150" t="s">
        <v>428</v>
      </c>
      <c r="Q297" s="150" t="s">
        <v>399</v>
      </c>
      <c r="R297" t="e">
        <f t="shared" ca="1" si="63"/>
        <v>#REF!</v>
      </c>
      <c r="S297" t="s">
        <v>398</v>
      </c>
      <c r="T297" t="s">
        <v>448</v>
      </c>
      <c r="U297" t="str">
        <f t="shared" ca="1" si="55"/>
        <v>Sheets("Master Data").Range("0" &amp; RowNo).Value</v>
      </c>
      <c r="V297" t="e">
        <f t="shared" ca="1" si="64"/>
        <v>#REF!</v>
      </c>
      <c r="X297" t="e">
        <f t="shared" ca="1" si="56"/>
        <v>#REF!</v>
      </c>
      <c r="Z297" t="e">
        <f t="shared" ca="1" si="57"/>
        <v>#REF!</v>
      </c>
      <c r="AB297" t="e">
        <f t="shared" ca="1" si="65"/>
        <v>#REF!</v>
      </c>
      <c r="AD297" t="e">
        <f t="shared" ca="1" si="66"/>
        <v>#REF!</v>
      </c>
    </row>
    <row r="298" spans="1:30" ht="15" x14ac:dyDescent="0.25">
      <c r="A298" s="150">
        <v>291</v>
      </c>
      <c r="B298" s="150" t="str">
        <f t="shared" si="58"/>
        <v>KE1</v>
      </c>
      <c r="D298" t="s">
        <v>416</v>
      </c>
      <c r="E298">
        <f t="shared" ca="1" si="59"/>
        <v>0</v>
      </c>
      <c r="F298" t="e">
        <f t="shared" ca="1" si="67"/>
        <v>#REF!</v>
      </c>
      <c r="G298" t="s">
        <v>417</v>
      </c>
      <c r="H298" t="s">
        <v>421</v>
      </c>
      <c r="I298" t="e">
        <f t="shared" ca="1" si="60"/>
        <v>#REF!</v>
      </c>
      <c r="J298" t="e">
        <f t="shared" ca="1" si="61"/>
        <v>#REF!</v>
      </c>
      <c r="K298" t="s">
        <v>431</v>
      </c>
      <c r="L298" s="150" t="s">
        <v>423</v>
      </c>
      <c r="M298" s="150" t="s">
        <v>435</v>
      </c>
      <c r="N298" t="e">
        <f t="shared" ca="1" si="62"/>
        <v>#REF!</v>
      </c>
      <c r="O298" s="150" t="s">
        <v>412</v>
      </c>
      <c r="P298" s="150" t="s">
        <v>428</v>
      </c>
      <c r="Q298" s="150" t="s">
        <v>399</v>
      </c>
      <c r="R298" t="e">
        <f t="shared" ca="1" si="63"/>
        <v>#REF!</v>
      </c>
      <c r="S298" t="s">
        <v>398</v>
      </c>
      <c r="T298" t="s">
        <v>448</v>
      </c>
      <c r="U298" t="str">
        <f t="shared" ca="1" si="55"/>
        <v>Sheets("Master Data").Range("0" &amp; RowNo).Value</v>
      </c>
      <c r="V298" t="e">
        <f t="shared" ca="1" si="64"/>
        <v>#REF!</v>
      </c>
      <c r="X298" t="e">
        <f t="shared" ca="1" si="56"/>
        <v>#REF!</v>
      </c>
      <c r="Z298" t="e">
        <f t="shared" ca="1" si="57"/>
        <v>#REF!</v>
      </c>
      <c r="AB298" t="e">
        <f t="shared" ca="1" si="65"/>
        <v>#REF!</v>
      </c>
      <c r="AD298" t="e">
        <f t="shared" ca="1" si="66"/>
        <v>#REF!</v>
      </c>
    </row>
    <row r="299" spans="1:30" ht="15" x14ac:dyDescent="0.25">
      <c r="A299" s="150">
        <v>292</v>
      </c>
      <c r="B299" s="150" t="str">
        <f t="shared" si="58"/>
        <v>KF1</v>
      </c>
      <c r="D299" t="s">
        <v>416</v>
      </c>
      <c r="E299">
        <f t="shared" ca="1" si="59"/>
        <v>0</v>
      </c>
      <c r="F299" t="e">
        <f t="shared" ca="1" si="67"/>
        <v>#REF!</v>
      </c>
      <c r="G299" t="s">
        <v>417</v>
      </c>
      <c r="H299" t="s">
        <v>421</v>
      </c>
      <c r="I299" t="e">
        <f t="shared" ca="1" si="60"/>
        <v>#REF!</v>
      </c>
      <c r="J299" t="e">
        <f t="shared" ca="1" si="61"/>
        <v>#REF!</v>
      </c>
      <c r="K299" t="s">
        <v>431</v>
      </c>
      <c r="L299" s="150" t="s">
        <v>423</v>
      </c>
      <c r="M299" s="150" t="s">
        <v>435</v>
      </c>
      <c r="N299" t="e">
        <f t="shared" ca="1" si="62"/>
        <v>#REF!</v>
      </c>
      <c r="O299" s="150" t="s">
        <v>412</v>
      </c>
      <c r="P299" s="150" t="s">
        <v>428</v>
      </c>
      <c r="Q299" s="150" t="s">
        <v>399</v>
      </c>
      <c r="R299" t="e">
        <f t="shared" ca="1" si="63"/>
        <v>#REF!</v>
      </c>
      <c r="S299" t="s">
        <v>398</v>
      </c>
      <c r="T299" t="s">
        <v>448</v>
      </c>
      <c r="U299" t="str">
        <f t="shared" ca="1" si="55"/>
        <v>Sheets("Master Data").Range("0" &amp; RowNo).Value</v>
      </c>
      <c r="V299" t="e">
        <f t="shared" ca="1" si="64"/>
        <v>#REF!</v>
      </c>
      <c r="X299" t="e">
        <f t="shared" ca="1" si="56"/>
        <v>#REF!</v>
      </c>
      <c r="Z299" t="e">
        <f t="shared" ca="1" si="57"/>
        <v>#REF!</v>
      </c>
      <c r="AB299" t="e">
        <f t="shared" ca="1" si="65"/>
        <v>#REF!</v>
      </c>
      <c r="AD299" t="e">
        <f t="shared" ca="1" si="66"/>
        <v>#REF!</v>
      </c>
    </row>
    <row r="300" spans="1:30" ht="15" x14ac:dyDescent="0.25">
      <c r="A300" s="150">
        <v>293</v>
      </c>
      <c r="B300" s="150" t="str">
        <f t="shared" si="58"/>
        <v>KG1</v>
      </c>
      <c r="D300" t="s">
        <v>416</v>
      </c>
      <c r="E300">
        <f t="shared" ca="1" si="59"/>
        <v>0</v>
      </c>
      <c r="F300" t="e">
        <f t="shared" ca="1" si="67"/>
        <v>#REF!</v>
      </c>
      <c r="G300" t="s">
        <v>417</v>
      </c>
      <c r="H300" t="s">
        <v>421</v>
      </c>
      <c r="I300" t="e">
        <f t="shared" ca="1" si="60"/>
        <v>#REF!</v>
      </c>
      <c r="J300" t="e">
        <f t="shared" ca="1" si="61"/>
        <v>#REF!</v>
      </c>
      <c r="K300" t="s">
        <v>431</v>
      </c>
      <c r="L300" s="150" t="s">
        <v>423</v>
      </c>
      <c r="M300" s="150" t="s">
        <v>435</v>
      </c>
      <c r="N300" t="e">
        <f t="shared" ca="1" si="62"/>
        <v>#REF!</v>
      </c>
      <c r="O300" s="150" t="s">
        <v>412</v>
      </c>
      <c r="P300" s="150" t="s">
        <v>428</v>
      </c>
      <c r="Q300" s="150" t="s">
        <v>399</v>
      </c>
      <c r="R300" t="e">
        <f t="shared" ca="1" si="63"/>
        <v>#REF!</v>
      </c>
      <c r="S300" t="s">
        <v>398</v>
      </c>
      <c r="T300" t="s">
        <v>448</v>
      </c>
      <c r="U300" t="str">
        <f t="shared" ca="1" si="55"/>
        <v>Sheets("Master Data").Range("0" &amp; RowNo).Value</v>
      </c>
      <c r="V300" t="e">
        <f t="shared" ca="1" si="64"/>
        <v>#REF!</v>
      </c>
      <c r="X300" t="e">
        <f t="shared" ca="1" si="56"/>
        <v>#REF!</v>
      </c>
      <c r="Z300" t="e">
        <f t="shared" ca="1" si="57"/>
        <v>#REF!</v>
      </c>
      <c r="AB300" t="e">
        <f t="shared" ca="1" si="65"/>
        <v>#REF!</v>
      </c>
      <c r="AD300" t="e">
        <f t="shared" ca="1" si="66"/>
        <v>#REF!</v>
      </c>
    </row>
    <row r="301" spans="1:30" ht="15" x14ac:dyDescent="0.25">
      <c r="A301" s="150">
        <v>294</v>
      </c>
      <c r="B301" s="150" t="str">
        <f t="shared" si="58"/>
        <v>KH1</v>
      </c>
      <c r="D301" t="s">
        <v>416</v>
      </c>
      <c r="E301">
        <f t="shared" ca="1" si="59"/>
        <v>0</v>
      </c>
      <c r="F301" t="e">
        <f t="shared" ca="1" si="67"/>
        <v>#REF!</v>
      </c>
      <c r="G301" t="s">
        <v>417</v>
      </c>
      <c r="H301" t="s">
        <v>421</v>
      </c>
      <c r="I301" t="e">
        <f t="shared" ca="1" si="60"/>
        <v>#REF!</v>
      </c>
      <c r="J301" t="e">
        <f t="shared" ca="1" si="61"/>
        <v>#REF!</v>
      </c>
      <c r="K301" t="s">
        <v>431</v>
      </c>
      <c r="L301" s="150" t="s">
        <v>423</v>
      </c>
      <c r="M301" s="150" t="s">
        <v>435</v>
      </c>
      <c r="N301" t="e">
        <f t="shared" ca="1" si="62"/>
        <v>#REF!</v>
      </c>
      <c r="O301" s="150" t="s">
        <v>412</v>
      </c>
      <c r="P301" s="150" t="s">
        <v>428</v>
      </c>
      <c r="Q301" s="150" t="s">
        <v>399</v>
      </c>
      <c r="R301" t="e">
        <f t="shared" ca="1" si="63"/>
        <v>#REF!</v>
      </c>
      <c r="S301" t="s">
        <v>398</v>
      </c>
      <c r="T301" t="s">
        <v>448</v>
      </c>
      <c r="U301" t="str">
        <f t="shared" ca="1" si="55"/>
        <v>Sheets("Master Data").Range("0" &amp; RowNo).Value</v>
      </c>
      <c r="V301" t="e">
        <f t="shared" ca="1" si="64"/>
        <v>#REF!</v>
      </c>
      <c r="X301" t="e">
        <f t="shared" ca="1" si="56"/>
        <v>#REF!</v>
      </c>
      <c r="Z301" t="e">
        <f t="shared" ca="1" si="57"/>
        <v>#REF!</v>
      </c>
      <c r="AB301" t="e">
        <f t="shared" ca="1" si="65"/>
        <v>#REF!</v>
      </c>
      <c r="AD301" t="e">
        <f t="shared" ca="1" si="66"/>
        <v>#REF!</v>
      </c>
    </row>
    <row r="302" spans="1:30" ht="15" x14ac:dyDescent="0.25">
      <c r="A302" s="150">
        <v>295</v>
      </c>
      <c r="B302" s="150" t="str">
        <f t="shared" si="58"/>
        <v>KI1</v>
      </c>
      <c r="D302" t="s">
        <v>416</v>
      </c>
      <c r="E302">
        <f t="shared" ca="1" si="59"/>
        <v>0</v>
      </c>
      <c r="F302" t="e">
        <f t="shared" ca="1" si="67"/>
        <v>#REF!</v>
      </c>
      <c r="G302" t="s">
        <v>417</v>
      </c>
      <c r="H302" t="s">
        <v>421</v>
      </c>
      <c r="I302" t="e">
        <f t="shared" ca="1" si="60"/>
        <v>#REF!</v>
      </c>
      <c r="J302" t="e">
        <f t="shared" ca="1" si="61"/>
        <v>#REF!</v>
      </c>
      <c r="K302" t="s">
        <v>431</v>
      </c>
      <c r="L302" s="150" t="s">
        <v>423</v>
      </c>
      <c r="M302" s="150" t="s">
        <v>435</v>
      </c>
      <c r="N302" t="e">
        <f t="shared" ca="1" si="62"/>
        <v>#REF!</v>
      </c>
      <c r="O302" s="150" t="s">
        <v>412</v>
      </c>
      <c r="P302" s="150" t="s">
        <v>428</v>
      </c>
      <c r="Q302" s="150" t="s">
        <v>399</v>
      </c>
      <c r="R302" t="e">
        <f t="shared" ca="1" si="63"/>
        <v>#REF!</v>
      </c>
      <c r="S302" t="s">
        <v>398</v>
      </c>
      <c r="T302" t="s">
        <v>448</v>
      </c>
      <c r="U302" t="str">
        <f t="shared" ca="1" si="55"/>
        <v>Sheets("Master Data").Range("0" &amp; RowNo).Value</v>
      </c>
      <c r="V302" t="e">
        <f t="shared" ca="1" si="64"/>
        <v>#REF!</v>
      </c>
      <c r="X302" t="e">
        <f t="shared" ca="1" si="56"/>
        <v>#REF!</v>
      </c>
      <c r="Z302" t="e">
        <f t="shared" ca="1" si="57"/>
        <v>#REF!</v>
      </c>
      <c r="AB302" t="e">
        <f t="shared" ca="1" si="65"/>
        <v>#REF!</v>
      </c>
      <c r="AD302" t="e">
        <f t="shared" ca="1" si="66"/>
        <v>#REF!</v>
      </c>
    </row>
    <row r="303" spans="1:30" ht="15" x14ac:dyDescent="0.25">
      <c r="A303" s="150">
        <v>296</v>
      </c>
      <c r="B303" s="150" t="str">
        <f t="shared" si="58"/>
        <v>KJ1</v>
      </c>
      <c r="D303" t="s">
        <v>416</v>
      </c>
      <c r="E303">
        <f t="shared" ca="1" si="59"/>
        <v>0</v>
      </c>
      <c r="F303" t="e">
        <f t="shared" ca="1" si="67"/>
        <v>#REF!</v>
      </c>
      <c r="G303" t="s">
        <v>417</v>
      </c>
      <c r="H303" t="s">
        <v>421</v>
      </c>
      <c r="I303" t="e">
        <f t="shared" ca="1" si="60"/>
        <v>#REF!</v>
      </c>
      <c r="J303" t="e">
        <f t="shared" ca="1" si="61"/>
        <v>#REF!</v>
      </c>
      <c r="K303" t="s">
        <v>431</v>
      </c>
      <c r="L303" s="150" t="s">
        <v>423</v>
      </c>
      <c r="M303" s="150" t="s">
        <v>435</v>
      </c>
      <c r="N303" t="e">
        <f t="shared" ca="1" si="62"/>
        <v>#REF!</v>
      </c>
      <c r="O303" s="150" t="s">
        <v>412</v>
      </c>
      <c r="P303" s="150" t="s">
        <v>428</v>
      </c>
      <c r="Q303" s="150" t="s">
        <v>399</v>
      </c>
      <c r="R303" t="e">
        <f t="shared" ca="1" si="63"/>
        <v>#REF!</v>
      </c>
      <c r="S303" t="s">
        <v>398</v>
      </c>
      <c r="T303" t="s">
        <v>448</v>
      </c>
      <c r="U303" t="str">
        <f t="shared" ca="1" si="55"/>
        <v>Sheets("Master Data").Range("0" &amp; RowNo).Value</v>
      </c>
      <c r="V303" t="e">
        <f t="shared" ca="1" si="64"/>
        <v>#REF!</v>
      </c>
      <c r="X303" t="e">
        <f t="shared" ca="1" si="56"/>
        <v>#REF!</v>
      </c>
      <c r="Z303" t="e">
        <f t="shared" ca="1" si="57"/>
        <v>#REF!</v>
      </c>
      <c r="AB303" t="e">
        <f t="shared" ca="1" si="65"/>
        <v>#REF!</v>
      </c>
      <c r="AD303" t="e">
        <f t="shared" ca="1" si="66"/>
        <v>#REF!</v>
      </c>
    </row>
    <row r="304" spans="1:30" ht="15" x14ac:dyDescent="0.25">
      <c r="A304" s="150">
        <v>297</v>
      </c>
      <c r="B304" s="150" t="str">
        <f t="shared" si="58"/>
        <v>KK1</v>
      </c>
      <c r="D304" t="s">
        <v>416</v>
      </c>
      <c r="E304">
        <f t="shared" ca="1" si="59"/>
        <v>0</v>
      </c>
      <c r="F304" t="e">
        <f t="shared" ca="1" si="67"/>
        <v>#REF!</v>
      </c>
      <c r="G304" t="s">
        <v>417</v>
      </c>
      <c r="H304" t="s">
        <v>421</v>
      </c>
      <c r="I304" t="e">
        <f t="shared" ca="1" si="60"/>
        <v>#REF!</v>
      </c>
      <c r="J304" t="e">
        <f t="shared" ca="1" si="61"/>
        <v>#REF!</v>
      </c>
      <c r="K304" t="s">
        <v>431</v>
      </c>
      <c r="L304" s="150" t="s">
        <v>423</v>
      </c>
      <c r="M304" s="150" t="s">
        <v>435</v>
      </c>
      <c r="N304" t="e">
        <f t="shared" ca="1" si="62"/>
        <v>#REF!</v>
      </c>
      <c r="O304" s="150" t="s">
        <v>412</v>
      </c>
      <c r="P304" s="150" t="s">
        <v>428</v>
      </c>
      <c r="Q304" s="150" t="s">
        <v>399</v>
      </c>
      <c r="R304" t="e">
        <f t="shared" ca="1" si="63"/>
        <v>#REF!</v>
      </c>
      <c r="S304" t="s">
        <v>398</v>
      </c>
      <c r="T304" t="s">
        <v>448</v>
      </c>
      <c r="U304" t="str">
        <f t="shared" ca="1" si="55"/>
        <v>Sheets("Master Data").Range("0" &amp; RowNo).Value</v>
      </c>
      <c r="V304" t="e">
        <f t="shared" ca="1" si="64"/>
        <v>#REF!</v>
      </c>
      <c r="X304" t="e">
        <f t="shared" ca="1" si="56"/>
        <v>#REF!</v>
      </c>
      <c r="Z304" t="e">
        <f t="shared" ca="1" si="57"/>
        <v>#REF!</v>
      </c>
      <c r="AB304" t="e">
        <f t="shared" ca="1" si="65"/>
        <v>#REF!</v>
      </c>
      <c r="AD304" t="e">
        <f t="shared" ca="1" si="66"/>
        <v>#REF!</v>
      </c>
    </row>
    <row r="305" spans="1:30" ht="15" x14ac:dyDescent="0.25">
      <c r="A305" s="150">
        <v>298</v>
      </c>
      <c r="B305" s="150" t="str">
        <f t="shared" si="58"/>
        <v>KL1</v>
      </c>
      <c r="D305" t="s">
        <v>416</v>
      </c>
      <c r="E305">
        <f t="shared" ca="1" si="59"/>
        <v>0</v>
      </c>
      <c r="F305" t="e">
        <f t="shared" ca="1" si="67"/>
        <v>#REF!</v>
      </c>
      <c r="G305" t="s">
        <v>417</v>
      </c>
      <c r="H305" t="s">
        <v>421</v>
      </c>
      <c r="I305" t="e">
        <f t="shared" ca="1" si="60"/>
        <v>#REF!</v>
      </c>
      <c r="J305" t="e">
        <f t="shared" ca="1" si="61"/>
        <v>#REF!</v>
      </c>
      <c r="K305" t="s">
        <v>431</v>
      </c>
      <c r="L305" s="150" t="s">
        <v>423</v>
      </c>
      <c r="M305" s="150" t="s">
        <v>435</v>
      </c>
      <c r="N305" t="e">
        <f t="shared" ca="1" si="62"/>
        <v>#REF!</v>
      </c>
      <c r="O305" s="150" t="s">
        <v>412</v>
      </c>
      <c r="P305" s="150" t="s">
        <v>428</v>
      </c>
      <c r="Q305" s="150" t="s">
        <v>399</v>
      </c>
      <c r="R305" t="e">
        <f t="shared" ca="1" si="63"/>
        <v>#REF!</v>
      </c>
      <c r="S305" t="s">
        <v>398</v>
      </c>
      <c r="T305" t="s">
        <v>448</v>
      </c>
      <c r="U305" t="str">
        <f t="shared" ca="1" si="55"/>
        <v>Sheets("Master Data").Range("0" &amp; RowNo).Value</v>
      </c>
      <c r="V305" t="e">
        <f t="shared" ca="1" si="64"/>
        <v>#REF!</v>
      </c>
      <c r="X305" t="e">
        <f t="shared" ca="1" si="56"/>
        <v>#REF!</v>
      </c>
      <c r="Z305" t="e">
        <f t="shared" ca="1" si="57"/>
        <v>#REF!</v>
      </c>
      <c r="AB305" t="e">
        <f t="shared" ca="1" si="65"/>
        <v>#REF!</v>
      </c>
      <c r="AD305" t="e">
        <f t="shared" ca="1" si="66"/>
        <v>#REF!</v>
      </c>
    </row>
    <row r="306" spans="1:30" ht="15" x14ac:dyDescent="0.25">
      <c r="A306" s="150">
        <v>299</v>
      </c>
      <c r="B306" s="150" t="str">
        <f t="shared" si="58"/>
        <v>KM1</v>
      </c>
      <c r="D306" t="s">
        <v>416</v>
      </c>
      <c r="E306">
        <f t="shared" ca="1" si="59"/>
        <v>0</v>
      </c>
      <c r="F306" t="e">
        <f t="shared" ca="1" si="67"/>
        <v>#REF!</v>
      </c>
      <c r="G306" t="s">
        <v>417</v>
      </c>
      <c r="H306" t="s">
        <v>421</v>
      </c>
      <c r="I306" t="e">
        <f t="shared" ca="1" si="60"/>
        <v>#REF!</v>
      </c>
      <c r="J306" t="e">
        <f t="shared" ca="1" si="61"/>
        <v>#REF!</v>
      </c>
      <c r="K306" t="s">
        <v>431</v>
      </c>
      <c r="L306" s="150" t="s">
        <v>423</v>
      </c>
      <c r="M306" s="150" t="s">
        <v>435</v>
      </c>
      <c r="N306" t="e">
        <f t="shared" ca="1" si="62"/>
        <v>#REF!</v>
      </c>
      <c r="O306" s="150" t="s">
        <v>412</v>
      </c>
      <c r="P306" s="150" t="s">
        <v>428</v>
      </c>
      <c r="Q306" s="150" t="s">
        <v>399</v>
      </c>
      <c r="R306" t="e">
        <f t="shared" ca="1" si="63"/>
        <v>#REF!</v>
      </c>
      <c r="S306" t="s">
        <v>398</v>
      </c>
      <c r="T306" t="s">
        <v>448</v>
      </c>
      <c r="U306" t="str">
        <f t="shared" ca="1" si="55"/>
        <v>Sheets("Master Data").Range("0" &amp; RowNo).Value</v>
      </c>
      <c r="V306" t="e">
        <f t="shared" ca="1" si="64"/>
        <v>#REF!</v>
      </c>
      <c r="X306" t="e">
        <f t="shared" ca="1" si="56"/>
        <v>#REF!</v>
      </c>
      <c r="Z306" t="e">
        <f t="shared" ca="1" si="57"/>
        <v>#REF!</v>
      </c>
      <c r="AB306" t="e">
        <f t="shared" ca="1" si="65"/>
        <v>#REF!</v>
      </c>
      <c r="AD306" t="e">
        <f t="shared" ca="1" si="66"/>
        <v>#REF!</v>
      </c>
    </row>
    <row r="307" spans="1:30" ht="15" x14ac:dyDescent="0.25">
      <c r="A307" s="150">
        <v>300</v>
      </c>
      <c r="B307" s="150" t="str">
        <f t="shared" si="58"/>
        <v>KN1</v>
      </c>
      <c r="D307" t="s">
        <v>416</v>
      </c>
      <c r="E307">
        <f t="shared" ca="1" si="59"/>
        <v>0</v>
      </c>
      <c r="F307" t="e">
        <f t="shared" ca="1" si="67"/>
        <v>#REF!</v>
      </c>
      <c r="G307" t="s">
        <v>417</v>
      </c>
      <c r="H307" t="s">
        <v>421</v>
      </c>
      <c r="I307" t="e">
        <f t="shared" ca="1" si="60"/>
        <v>#REF!</v>
      </c>
      <c r="J307" t="e">
        <f t="shared" ca="1" si="61"/>
        <v>#REF!</v>
      </c>
      <c r="K307" t="s">
        <v>431</v>
      </c>
      <c r="L307" s="150" t="s">
        <v>423</v>
      </c>
      <c r="M307" s="150" t="s">
        <v>435</v>
      </c>
      <c r="N307" t="e">
        <f t="shared" ca="1" si="62"/>
        <v>#REF!</v>
      </c>
      <c r="O307" s="150" t="s">
        <v>412</v>
      </c>
      <c r="P307" s="150" t="s">
        <v>428</v>
      </c>
      <c r="Q307" s="150" t="s">
        <v>399</v>
      </c>
      <c r="R307" t="e">
        <f t="shared" ca="1" si="63"/>
        <v>#REF!</v>
      </c>
      <c r="S307" t="s">
        <v>398</v>
      </c>
      <c r="T307" t="s">
        <v>448</v>
      </c>
      <c r="U307" t="str">
        <f t="shared" ca="1" si="55"/>
        <v>Sheets("Master Data").Range("0" &amp; RowNo).Value</v>
      </c>
      <c r="V307" t="e">
        <f t="shared" ca="1" si="64"/>
        <v>#REF!</v>
      </c>
      <c r="X307" t="e">
        <f t="shared" ca="1" si="56"/>
        <v>#REF!</v>
      </c>
      <c r="Z307" t="e">
        <f t="shared" ca="1" si="57"/>
        <v>#REF!</v>
      </c>
      <c r="AB307" t="e">
        <f t="shared" ca="1" si="65"/>
        <v>#REF!</v>
      </c>
      <c r="AD307" t="e">
        <f t="shared" ca="1" si="66"/>
        <v>#REF!</v>
      </c>
    </row>
    <row r="308" spans="1:30" ht="15" x14ac:dyDescent="0.25">
      <c r="A308" s="150">
        <v>301</v>
      </c>
      <c r="B308" s="150" t="str">
        <f t="shared" si="58"/>
        <v>KO1</v>
      </c>
      <c r="D308" t="s">
        <v>416</v>
      </c>
      <c r="E308">
        <f t="shared" ca="1" si="59"/>
        <v>0</v>
      </c>
      <c r="F308" t="e">
        <f t="shared" ca="1" si="67"/>
        <v>#REF!</v>
      </c>
      <c r="G308" t="s">
        <v>417</v>
      </c>
      <c r="H308" t="s">
        <v>421</v>
      </c>
      <c r="I308" t="e">
        <f t="shared" ca="1" si="60"/>
        <v>#REF!</v>
      </c>
      <c r="J308" t="e">
        <f t="shared" ca="1" si="61"/>
        <v>#REF!</v>
      </c>
      <c r="K308" t="s">
        <v>431</v>
      </c>
      <c r="L308" s="150" t="s">
        <v>423</v>
      </c>
      <c r="M308" s="150" t="s">
        <v>435</v>
      </c>
      <c r="N308" t="e">
        <f t="shared" ca="1" si="62"/>
        <v>#REF!</v>
      </c>
      <c r="O308" s="150" t="s">
        <v>412</v>
      </c>
      <c r="P308" s="150" t="s">
        <v>428</v>
      </c>
      <c r="Q308" s="150" t="s">
        <v>399</v>
      </c>
      <c r="R308" t="e">
        <f t="shared" ca="1" si="63"/>
        <v>#REF!</v>
      </c>
      <c r="S308" t="s">
        <v>398</v>
      </c>
      <c r="T308" t="s">
        <v>448</v>
      </c>
      <c r="U308" t="str">
        <f t="shared" ca="1" si="55"/>
        <v>Sheets("Master Data").Range("0" &amp; RowNo).Value</v>
      </c>
      <c r="V308" t="e">
        <f t="shared" ca="1" si="64"/>
        <v>#REF!</v>
      </c>
      <c r="X308" t="e">
        <f t="shared" ca="1" si="56"/>
        <v>#REF!</v>
      </c>
      <c r="Z308" t="e">
        <f t="shared" ca="1" si="57"/>
        <v>#REF!</v>
      </c>
      <c r="AB308" t="e">
        <f t="shared" ca="1" si="65"/>
        <v>#REF!</v>
      </c>
      <c r="AD308" t="e">
        <f t="shared" ca="1" si="66"/>
        <v>#REF!</v>
      </c>
    </row>
    <row r="309" spans="1:30" ht="15" x14ac:dyDescent="0.25">
      <c r="A309" s="150">
        <v>302</v>
      </c>
      <c r="B309" s="150" t="str">
        <f t="shared" si="58"/>
        <v>KP1</v>
      </c>
      <c r="D309" t="s">
        <v>416</v>
      </c>
      <c r="E309">
        <f t="shared" ca="1" si="59"/>
        <v>0</v>
      </c>
      <c r="F309" t="e">
        <f t="shared" ca="1" si="67"/>
        <v>#REF!</v>
      </c>
      <c r="G309" t="s">
        <v>417</v>
      </c>
      <c r="H309" t="s">
        <v>421</v>
      </c>
      <c r="I309" t="e">
        <f t="shared" ca="1" si="60"/>
        <v>#REF!</v>
      </c>
      <c r="J309" t="e">
        <f t="shared" ca="1" si="61"/>
        <v>#REF!</v>
      </c>
      <c r="K309" t="s">
        <v>431</v>
      </c>
      <c r="L309" s="150" t="s">
        <v>423</v>
      </c>
      <c r="M309" s="150" t="s">
        <v>435</v>
      </c>
      <c r="N309" t="e">
        <f t="shared" ca="1" si="62"/>
        <v>#REF!</v>
      </c>
      <c r="O309" s="150" t="s">
        <v>412</v>
      </c>
      <c r="P309" s="150" t="s">
        <v>428</v>
      </c>
      <c r="Q309" s="150" t="s">
        <v>399</v>
      </c>
      <c r="R309" t="e">
        <f t="shared" ca="1" si="63"/>
        <v>#REF!</v>
      </c>
      <c r="S309" t="s">
        <v>398</v>
      </c>
      <c r="T309" t="s">
        <v>448</v>
      </c>
      <c r="U309" t="str">
        <f t="shared" ca="1" si="55"/>
        <v>Sheets("Master Data").Range("0" &amp; RowNo).Value</v>
      </c>
      <c r="V309" t="e">
        <f t="shared" ca="1" si="64"/>
        <v>#REF!</v>
      </c>
      <c r="X309" t="e">
        <f t="shared" ca="1" si="56"/>
        <v>#REF!</v>
      </c>
      <c r="Z309" t="e">
        <f t="shared" ca="1" si="57"/>
        <v>#REF!</v>
      </c>
      <c r="AB309" t="e">
        <f t="shared" ca="1" si="65"/>
        <v>#REF!</v>
      </c>
      <c r="AD309" t="e">
        <f t="shared" ca="1" si="66"/>
        <v>#REF!</v>
      </c>
    </row>
    <row r="310" spans="1:30" ht="15" x14ac:dyDescent="0.25">
      <c r="A310" s="150">
        <v>303</v>
      </c>
      <c r="B310" s="150" t="str">
        <f t="shared" si="58"/>
        <v>KQ1</v>
      </c>
      <c r="D310" t="s">
        <v>416</v>
      </c>
      <c r="E310">
        <f t="shared" ca="1" si="59"/>
        <v>0</v>
      </c>
      <c r="F310" t="e">
        <f t="shared" ca="1" si="67"/>
        <v>#REF!</v>
      </c>
      <c r="G310" t="s">
        <v>417</v>
      </c>
      <c r="H310" t="s">
        <v>421</v>
      </c>
      <c r="I310" t="e">
        <f t="shared" ca="1" si="60"/>
        <v>#REF!</v>
      </c>
      <c r="J310" t="e">
        <f t="shared" ca="1" si="61"/>
        <v>#REF!</v>
      </c>
      <c r="K310" t="s">
        <v>431</v>
      </c>
      <c r="L310" s="150" t="s">
        <v>423</v>
      </c>
      <c r="M310" s="150" t="s">
        <v>435</v>
      </c>
      <c r="N310" t="e">
        <f t="shared" ca="1" si="62"/>
        <v>#REF!</v>
      </c>
      <c r="O310" s="150" t="s">
        <v>412</v>
      </c>
      <c r="P310" s="150" t="s">
        <v>428</v>
      </c>
      <c r="Q310" s="150" t="s">
        <v>399</v>
      </c>
      <c r="R310" t="e">
        <f t="shared" ca="1" si="63"/>
        <v>#REF!</v>
      </c>
      <c r="S310" t="s">
        <v>398</v>
      </c>
      <c r="T310" t="s">
        <v>448</v>
      </c>
      <c r="U310" t="str">
        <f t="shared" ca="1" si="55"/>
        <v>Sheets("Master Data").Range("0" &amp; RowNo).Value</v>
      </c>
      <c r="V310" t="e">
        <f t="shared" ca="1" si="64"/>
        <v>#REF!</v>
      </c>
      <c r="X310" t="e">
        <f t="shared" ca="1" si="56"/>
        <v>#REF!</v>
      </c>
      <c r="Z310" t="e">
        <f t="shared" ca="1" si="57"/>
        <v>#REF!</v>
      </c>
      <c r="AB310" t="e">
        <f t="shared" ca="1" si="65"/>
        <v>#REF!</v>
      </c>
      <c r="AD310" t="e">
        <f t="shared" ca="1" si="66"/>
        <v>#REF!</v>
      </c>
    </row>
    <row r="311" spans="1:30" ht="15" x14ac:dyDescent="0.25">
      <c r="A311" s="150">
        <v>304</v>
      </c>
      <c r="B311" s="150" t="str">
        <f t="shared" si="58"/>
        <v>KR1</v>
      </c>
      <c r="D311" t="s">
        <v>416</v>
      </c>
      <c r="E311">
        <f t="shared" ca="1" si="59"/>
        <v>0</v>
      </c>
      <c r="F311" t="e">
        <f t="shared" ca="1" si="67"/>
        <v>#REF!</v>
      </c>
      <c r="G311" t="s">
        <v>417</v>
      </c>
      <c r="H311" t="s">
        <v>421</v>
      </c>
      <c r="I311" t="e">
        <f t="shared" ca="1" si="60"/>
        <v>#REF!</v>
      </c>
      <c r="J311" t="e">
        <f t="shared" ca="1" si="61"/>
        <v>#REF!</v>
      </c>
      <c r="K311" t="s">
        <v>431</v>
      </c>
      <c r="L311" s="150" t="s">
        <v>423</v>
      </c>
      <c r="M311" s="150" t="s">
        <v>435</v>
      </c>
      <c r="N311" t="e">
        <f t="shared" ca="1" si="62"/>
        <v>#REF!</v>
      </c>
      <c r="O311" s="150" t="s">
        <v>412</v>
      </c>
      <c r="P311" s="150" t="s">
        <v>428</v>
      </c>
      <c r="Q311" s="150" t="s">
        <v>399</v>
      </c>
      <c r="R311" t="e">
        <f t="shared" ca="1" si="63"/>
        <v>#REF!</v>
      </c>
      <c r="S311" t="s">
        <v>398</v>
      </c>
      <c r="T311" t="s">
        <v>448</v>
      </c>
      <c r="U311" t="str">
        <f t="shared" ca="1" si="55"/>
        <v>Sheets("Master Data").Range("0" &amp; RowNo).Value</v>
      </c>
      <c r="V311" t="e">
        <f t="shared" ca="1" si="64"/>
        <v>#REF!</v>
      </c>
      <c r="X311" t="e">
        <f t="shared" ca="1" si="56"/>
        <v>#REF!</v>
      </c>
      <c r="Z311" t="e">
        <f t="shared" ca="1" si="57"/>
        <v>#REF!</v>
      </c>
      <c r="AB311" t="e">
        <f t="shared" ca="1" si="65"/>
        <v>#REF!</v>
      </c>
      <c r="AD311" t="e">
        <f t="shared" ca="1" si="66"/>
        <v>#REF!</v>
      </c>
    </row>
    <row r="312" spans="1:30" ht="15" x14ac:dyDescent="0.25">
      <c r="A312" s="150">
        <v>305</v>
      </c>
      <c r="B312" s="150" t="str">
        <f t="shared" si="58"/>
        <v>KS1</v>
      </c>
      <c r="D312" t="s">
        <v>416</v>
      </c>
      <c r="E312">
        <f t="shared" ca="1" si="59"/>
        <v>0</v>
      </c>
      <c r="F312" t="e">
        <f t="shared" ca="1" si="67"/>
        <v>#REF!</v>
      </c>
      <c r="G312" t="s">
        <v>417</v>
      </c>
      <c r="H312" t="s">
        <v>421</v>
      </c>
      <c r="I312" t="e">
        <f t="shared" ca="1" si="60"/>
        <v>#REF!</v>
      </c>
      <c r="J312" t="e">
        <f t="shared" ca="1" si="61"/>
        <v>#REF!</v>
      </c>
      <c r="K312" t="s">
        <v>431</v>
      </c>
      <c r="L312" s="150" t="s">
        <v>423</v>
      </c>
      <c r="M312" s="150" t="s">
        <v>435</v>
      </c>
      <c r="N312" t="e">
        <f t="shared" ca="1" si="62"/>
        <v>#REF!</v>
      </c>
      <c r="O312" s="150" t="s">
        <v>412</v>
      </c>
      <c r="P312" s="150" t="s">
        <v>428</v>
      </c>
      <c r="Q312" s="150" t="s">
        <v>399</v>
      </c>
      <c r="R312" t="e">
        <f t="shared" ca="1" si="63"/>
        <v>#REF!</v>
      </c>
      <c r="S312" t="s">
        <v>398</v>
      </c>
      <c r="T312" t="s">
        <v>448</v>
      </c>
      <c r="U312" t="str">
        <f t="shared" ca="1" si="55"/>
        <v>Sheets("Master Data").Range("0" &amp; RowNo).Value</v>
      </c>
      <c r="V312" t="e">
        <f t="shared" ca="1" si="64"/>
        <v>#REF!</v>
      </c>
      <c r="X312" t="e">
        <f t="shared" ca="1" si="56"/>
        <v>#REF!</v>
      </c>
      <c r="Z312" t="e">
        <f t="shared" ca="1" si="57"/>
        <v>#REF!</v>
      </c>
      <c r="AB312" t="e">
        <f t="shared" ca="1" si="65"/>
        <v>#REF!</v>
      </c>
      <c r="AD312" t="e">
        <f t="shared" ca="1" si="66"/>
        <v>#REF!</v>
      </c>
    </row>
    <row r="313" spans="1:30" ht="15" x14ac:dyDescent="0.25">
      <c r="A313" s="150">
        <v>306</v>
      </c>
      <c r="B313" s="150" t="str">
        <f t="shared" si="58"/>
        <v>KT1</v>
      </c>
      <c r="D313" t="s">
        <v>416</v>
      </c>
      <c r="E313">
        <f t="shared" ca="1" si="59"/>
        <v>0</v>
      </c>
      <c r="F313" t="e">
        <f t="shared" ca="1" si="67"/>
        <v>#REF!</v>
      </c>
      <c r="G313" t="s">
        <v>417</v>
      </c>
      <c r="H313" t="s">
        <v>421</v>
      </c>
      <c r="I313" t="e">
        <f t="shared" ca="1" si="60"/>
        <v>#REF!</v>
      </c>
      <c r="J313" t="e">
        <f t="shared" ca="1" si="61"/>
        <v>#REF!</v>
      </c>
      <c r="K313" t="s">
        <v>431</v>
      </c>
      <c r="L313" s="150" t="s">
        <v>423</v>
      </c>
      <c r="M313" s="150" t="s">
        <v>435</v>
      </c>
      <c r="N313" t="e">
        <f t="shared" ca="1" si="62"/>
        <v>#REF!</v>
      </c>
      <c r="O313" s="150" t="s">
        <v>412</v>
      </c>
      <c r="P313" s="150" t="s">
        <v>428</v>
      </c>
      <c r="Q313" s="150" t="s">
        <v>399</v>
      </c>
      <c r="R313" t="e">
        <f t="shared" ca="1" si="63"/>
        <v>#REF!</v>
      </c>
      <c r="S313" t="s">
        <v>398</v>
      </c>
      <c r="T313" t="s">
        <v>448</v>
      </c>
      <c r="U313" t="str">
        <f t="shared" ca="1" si="55"/>
        <v>Sheets("Master Data").Range("0" &amp; RowNo).Value</v>
      </c>
      <c r="V313" t="e">
        <f t="shared" ca="1" si="64"/>
        <v>#REF!</v>
      </c>
      <c r="X313" t="e">
        <f t="shared" ca="1" si="56"/>
        <v>#REF!</v>
      </c>
      <c r="Z313" t="e">
        <f t="shared" ca="1" si="57"/>
        <v>#REF!</v>
      </c>
      <c r="AB313" t="e">
        <f t="shared" ca="1" si="65"/>
        <v>#REF!</v>
      </c>
      <c r="AD313" t="e">
        <f t="shared" ca="1" si="66"/>
        <v>#REF!</v>
      </c>
    </row>
    <row r="314" spans="1:30" ht="15" x14ac:dyDescent="0.25">
      <c r="A314" s="150">
        <v>307</v>
      </c>
      <c r="B314" s="150" t="str">
        <f t="shared" si="58"/>
        <v>KU1</v>
      </c>
      <c r="D314" t="s">
        <v>416</v>
      </c>
      <c r="E314">
        <f t="shared" ca="1" si="59"/>
        <v>0</v>
      </c>
      <c r="F314" t="e">
        <f t="shared" ca="1" si="67"/>
        <v>#REF!</v>
      </c>
      <c r="G314" t="s">
        <v>417</v>
      </c>
      <c r="H314" t="s">
        <v>421</v>
      </c>
      <c r="I314" t="e">
        <f t="shared" ca="1" si="60"/>
        <v>#REF!</v>
      </c>
      <c r="J314" t="e">
        <f t="shared" ca="1" si="61"/>
        <v>#REF!</v>
      </c>
      <c r="K314" t="s">
        <v>431</v>
      </c>
      <c r="L314" s="150" t="s">
        <v>423</v>
      </c>
      <c r="M314" s="150" t="s">
        <v>435</v>
      </c>
      <c r="N314" t="e">
        <f t="shared" ca="1" si="62"/>
        <v>#REF!</v>
      </c>
      <c r="O314" s="150" t="s">
        <v>412</v>
      </c>
      <c r="P314" s="150" t="s">
        <v>428</v>
      </c>
      <c r="Q314" s="150" t="s">
        <v>399</v>
      </c>
      <c r="R314" t="e">
        <f t="shared" ca="1" si="63"/>
        <v>#REF!</v>
      </c>
      <c r="S314" t="s">
        <v>398</v>
      </c>
      <c r="T314" t="s">
        <v>448</v>
      </c>
      <c r="U314" t="str">
        <f t="shared" ca="1" si="55"/>
        <v>Sheets("Master Data").Range("0" &amp; RowNo).Value</v>
      </c>
      <c r="V314" t="e">
        <f t="shared" ca="1" si="64"/>
        <v>#REF!</v>
      </c>
      <c r="X314" t="e">
        <f t="shared" ca="1" si="56"/>
        <v>#REF!</v>
      </c>
      <c r="Z314" t="e">
        <f t="shared" ca="1" si="57"/>
        <v>#REF!</v>
      </c>
      <c r="AB314" t="e">
        <f t="shared" ca="1" si="65"/>
        <v>#REF!</v>
      </c>
      <c r="AD314" t="e">
        <f t="shared" ca="1" si="66"/>
        <v>#REF!</v>
      </c>
    </row>
    <row r="315" spans="1:30" ht="15" x14ac:dyDescent="0.25">
      <c r="A315" s="150">
        <v>308</v>
      </c>
      <c r="B315" s="150" t="str">
        <f t="shared" si="58"/>
        <v>KV1</v>
      </c>
      <c r="D315" t="s">
        <v>416</v>
      </c>
      <c r="E315">
        <f t="shared" ca="1" si="59"/>
        <v>0</v>
      </c>
      <c r="F315" t="e">
        <f t="shared" ca="1" si="67"/>
        <v>#REF!</v>
      </c>
      <c r="G315" t="s">
        <v>417</v>
      </c>
      <c r="H315" t="s">
        <v>421</v>
      </c>
      <c r="I315" t="e">
        <f t="shared" ca="1" si="60"/>
        <v>#REF!</v>
      </c>
      <c r="J315" t="e">
        <f t="shared" ca="1" si="61"/>
        <v>#REF!</v>
      </c>
      <c r="K315" t="s">
        <v>431</v>
      </c>
      <c r="L315" s="150" t="s">
        <v>423</v>
      </c>
      <c r="M315" s="150" t="s">
        <v>435</v>
      </c>
      <c r="N315" t="e">
        <f t="shared" ca="1" si="62"/>
        <v>#REF!</v>
      </c>
      <c r="O315" s="150" t="s">
        <v>412</v>
      </c>
      <c r="P315" s="150" t="s">
        <v>428</v>
      </c>
      <c r="Q315" s="150" t="s">
        <v>399</v>
      </c>
      <c r="R315" t="e">
        <f t="shared" ca="1" si="63"/>
        <v>#REF!</v>
      </c>
      <c r="S315" t="s">
        <v>398</v>
      </c>
      <c r="T315" t="s">
        <v>448</v>
      </c>
      <c r="U315" t="str">
        <f t="shared" ca="1" si="55"/>
        <v>Sheets("Master Data").Range("0" &amp; RowNo).Value</v>
      </c>
      <c r="V315" t="e">
        <f t="shared" ca="1" si="64"/>
        <v>#REF!</v>
      </c>
      <c r="X315" t="e">
        <f t="shared" ca="1" si="56"/>
        <v>#REF!</v>
      </c>
      <c r="Z315" t="e">
        <f t="shared" ca="1" si="57"/>
        <v>#REF!</v>
      </c>
      <c r="AB315" t="e">
        <f t="shared" ca="1" si="65"/>
        <v>#REF!</v>
      </c>
      <c r="AD315" t="e">
        <f t="shared" ca="1" si="66"/>
        <v>#REF!</v>
      </c>
    </row>
    <row r="316" spans="1:30" ht="15" x14ac:dyDescent="0.25">
      <c r="A316" s="150">
        <v>309</v>
      </c>
      <c r="B316" s="150" t="str">
        <f t="shared" si="58"/>
        <v>KW1</v>
      </c>
      <c r="D316" t="s">
        <v>416</v>
      </c>
      <c r="E316">
        <f t="shared" ca="1" si="59"/>
        <v>0</v>
      </c>
      <c r="F316" t="e">
        <f t="shared" ca="1" si="67"/>
        <v>#REF!</v>
      </c>
      <c r="G316" t="s">
        <v>417</v>
      </c>
      <c r="H316" t="s">
        <v>421</v>
      </c>
      <c r="I316" t="e">
        <f t="shared" ca="1" si="60"/>
        <v>#REF!</v>
      </c>
      <c r="J316" t="e">
        <f t="shared" ca="1" si="61"/>
        <v>#REF!</v>
      </c>
      <c r="K316" t="s">
        <v>431</v>
      </c>
      <c r="L316" s="150" t="s">
        <v>423</v>
      </c>
      <c r="M316" s="150" t="s">
        <v>435</v>
      </c>
      <c r="N316" t="e">
        <f t="shared" ca="1" si="62"/>
        <v>#REF!</v>
      </c>
      <c r="O316" s="150" t="s">
        <v>412</v>
      </c>
      <c r="P316" s="150" t="s">
        <v>428</v>
      </c>
      <c r="Q316" s="150" t="s">
        <v>399</v>
      </c>
      <c r="R316" t="e">
        <f t="shared" ca="1" si="63"/>
        <v>#REF!</v>
      </c>
      <c r="S316" t="s">
        <v>398</v>
      </c>
      <c r="T316" t="s">
        <v>448</v>
      </c>
      <c r="U316" t="str">
        <f t="shared" ca="1" si="55"/>
        <v>Sheets("Master Data").Range("0" &amp; RowNo).Value</v>
      </c>
      <c r="V316" t="e">
        <f t="shared" ca="1" si="64"/>
        <v>#REF!</v>
      </c>
      <c r="X316" t="e">
        <f t="shared" ca="1" si="56"/>
        <v>#REF!</v>
      </c>
      <c r="Z316" t="e">
        <f t="shared" ca="1" si="57"/>
        <v>#REF!</v>
      </c>
      <c r="AB316" t="e">
        <f t="shared" ca="1" si="65"/>
        <v>#REF!</v>
      </c>
      <c r="AD316" t="e">
        <f t="shared" ca="1" si="66"/>
        <v>#REF!</v>
      </c>
    </row>
    <row r="317" spans="1:30" ht="15" x14ac:dyDescent="0.25">
      <c r="A317" s="150">
        <v>310</v>
      </c>
      <c r="B317" s="150" t="str">
        <f t="shared" si="58"/>
        <v>KX1</v>
      </c>
      <c r="D317" t="s">
        <v>416</v>
      </c>
      <c r="E317">
        <f t="shared" ca="1" si="59"/>
        <v>0</v>
      </c>
      <c r="F317" t="e">
        <f t="shared" ca="1" si="67"/>
        <v>#REF!</v>
      </c>
      <c r="G317" t="s">
        <v>417</v>
      </c>
      <c r="H317" t="s">
        <v>421</v>
      </c>
      <c r="I317" t="e">
        <f t="shared" ca="1" si="60"/>
        <v>#REF!</v>
      </c>
      <c r="J317" t="e">
        <f t="shared" ca="1" si="61"/>
        <v>#REF!</v>
      </c>
      <c r="K317" t="s">
        <v>431</v>
      </c>
      <c r="L317" s="150" t="s">
        <v>423</v>
      </c>
      <c r="M317" s="150" t="s">
        <v>435</v>
      </c>
      <c r="N317" t="e">
        <f t="shared" ca="1" si="62"/>
        <v>#REF!</v>
      </c>
      <c r="O317" s="150" t="s">
        <v>412</v>
      </c>
      <c r="P317" s="150" t="s">
        <v>428</v>
      </c>
      <c r="Q317" s="150" t="s">
        <v>399</v>
      </c>
      <c r="R317" t="e">
        <f t="shared" ca="1" si="63"/>
        <v>#REF!</v>
      </c>
      <c r="S317" t="s">
        <v>398</v>
      </c>
      <c r="T317" t="s">
        <v>448</v>
      </c>
      <c r="U317" t="str">
        <f t="shared" ca="1" si="55"/>
        <v>Sheets("Master Data").Range("0" &amp; RowNo).Value</v>
      </c>
      <c r="V317" t="e">
        <f t="shared" ca="1" si="64"/>
        <v>#REF!</v>
      </c>
      <c r="X317" t="e">
        <f t="shared" ca="1" si="56"/>
        <v>#REF!</v>
      </c>
      <c r="Z317" t="e">
        <f t="shared" ca="1" si="57"/>
        <v>#REF!</v>
      </c>
      <c r="AB317" t="e">
        <f t="shared" ca="1" si="65"/>
        <v>#REF!</v>
      </c>
      <c r="AD317" t="e">
        <f t="shared" ca="1" si="66"/>
        <v>#REF!</v>
      </c>
    </row>
    <row r="318" spans="1:30" ht="15" x14ac:dyDescent="0.25">
      <c r="A318" s="150">
        <v>311</v>
      </c>
      <c r="B318" s="150" t="str">
        <f t="shared" si="58"/>
        <v>KY1</v>
      </c>
      <c r="D318" t="s">
        <v>416</v>
      </c>
      <c r="E318">
        <f t="shared" ca="1" si="59"/>
        <v>0</v>
      </c>
      <c r="F318" t="e">
        <f t="shared" ca="1" si="67"/>
        <v>#REF!</v>
      </c>
      <c r="G318" t="s">
        <v>417</v>
      </c>
      <c r="H318" t="s">
        <v>421</v>
      </c>
      <c r="I318" t="e">
        <f t="shared" ca="1" si="60"/>
        <v>#REF!</v>
      </c>
      <c r="J318" t="e">
        <f t="shared" ca="1" si="61"/>
        <v>#REF!</v>
      </c>
      <c r="K318" t="s">
        <v>431</v>
      </c>
      <c r="L318" s="150" t="s">
        <v>423</v>
      </c>
      <c r="M318" s="150" t="s">
        <v>435</v>
      </c>
      <c r="N318" t="e">
        <f t="shared" ca="1" si="62"/>
        <v>#REF!</v>
      </c>
      <c r="O318" s="150" t="s">
        <v>412</v>
      </c>
      <c r="P318" s="150" t="s">
        <v>428</v>
      </c>
      <c r="Q318" s="150" t="s">
        <v>399</v>
      </c>
      <c r="R318" t="e">
        <f t="shared" ca="1" si="63"/>
        <v>#REF!</v>
      </c>
      <c r="S318" t="s">
        <v>398</v>
      </c>
      <c r="T318" t="s">
        <v>448</v>
      </c>
      <c r="U318" t="str">
        <f t="shared" ca="1" si="55"/>
        <v>Sheets("Master Data").Range("0" &amp; RowNo).Value</v>
      </c>
      <c r="V318" t="e">
        <f t="shared" ca="1" si="64"/>
        <v>#REF!</v>
      </c>
      <c r="X318" t="e">
        <f t="shared" ca="1" si="56"/>
        <v>#REF!</v>
      </c>
      <c r="Z318" t="e">
        <f t="shared" ca="1" si="57"/>
        <v>#REF!</v>
      </c>
      <c r="AB318" t="e">
        <f t="shared" ca="1" si="65"/>
        <v>#REF!</v>
      </c>
      <c r="AD318" t="e">
        <f t="shared" ca="1" si="66"/>
        <v>#REF!</v>
      </c>
    </row>
    <row r="319" spans="1:30" ht="15" x14ac:dyDescent="0.25">
      <c r="A319" s="150">
        <v>312</v>
      </c>
      <c r="B319" s="150" t="str">
        <f t="shared" si="58"/>
        <v>KZ1</v>
      </c>
      <c r="D319" t="s">
        <v>416</v>
      </c>
      <c r="E319">
        <f t="shared" ca="1" si="59"/>
        <v>0</v>
      </c>
      <c r="F319" t="e">
        <f t="shared" ca="1" si="67"/>
        <v>#REF!</v>
      </c>
      <c r="G319" t="s">
        <v>417</v>
      </c>
      <c r="H319" t="s">
        <v>421</v>
      </c>
      <c r="I319" t="e">
        <f t="shared" ca="1" si="60"/>
        <v>#REF!</v>
      </c>
      <c r="J319" t="e">
        <f t="shared" ca="1" si="61"/>
        <v>#REF!</v>
      </c>
      <c r="K319" t="s">
        <v>431</v>
      </c>
      <c r="L319" s="150" t="s">
        <v>423</v>
      </c>
      <c r="M319" s="150" t="s">
        <v>435</v>
      </c>
      <c r="N319" t="e">
        <f t="shared" ca="1" si="62"/>
        <v>#REF!</v>
      </c>
      <c r="O319" s="150" t="s">
        <v>412</v>
      </c>
      <c r="P319" s="150" t="s">
        <v>428</v>
      </c>
      <c r="Q319" s="150" t="s">
        <v>399</v>
      </c>
      <c r="R319" t="e">
        <f t="shared" ca="1" si="63"/>
        <v>#REF!</v>
      </c>
      <c r="S319" t="s">
        <v>398</v>
      </c>
      <c r="T319" t="s">
        <v>448</v>
      </c>
      <c r="U319" t="str">
        <f t="shared" ca="1" si="55"/>
        <v>Sheets("Master Data").Range("0" &amp; RowNo).Value</v>
      </c>
      <c r="V319" t="e">
        <f t="shared" ca="1" si="64"/>
        <v>#REF!</v>
      </c>
      <c r="X319" t="e">
        <f t="shared" ca="1" si="56"/>
        <v>#REF!</v>
      </c>
      <c r="Z319" t="e">
        <f t="shared" ca="1" si="57"/>
        <v>#REF!</v>
      </c>
      <c r="AB319" t="e">
        <f t="shared" ca="1" si="65"/>
        <v>#REF!</v>
      </c>
      <c r="AD319" t="e">
        <f t="shared" ca="1" si="66"/>
        <v>#REF!</v>
      </c>
    </row>
    <row r="320" spans="1:30" ht="15" x14ac:dyDescent="0.25">
      <c r="A320" s="150">
        <v>313</v>
      </c>
      <c r="B320" s="150" t="str">
        <f t="shared" si="58"/>
        <v>LA1</v>
      </c>
      <c r="D320" t="s">
        <v>416</v>
      </c>
      <c r="E320">
        <f t="shared" ca="1" si="59"/>
        <v>0</v>
      </c>
      <c r="F320" t="e">
        <f t="shared" ca="1" si="67"/>
        <v>#REF!</v>
      </c>
      <c r="G320" t="s">
        <v>417</v>
      </c>
      <c r="H320" t="s">
        <v>421</v>
      </c>
      <c r="I320" t="e">
        <f t="shared" ca="1" si="60"/>
        <v>#REF!</v>
      </c>
      <c r="J320" t="e">
        <f t="shared" ca="1" si="61"/>
        <v>#REF!</v>
      </c>
      <c r="K320" t="s">
        <v>431</v>
      </c>
      <c r="L320" s="150" t="s">
        <v>423</v>
      </c>
      <c r="M320" s="150" t="s">
        <v>435</v>
      </c>
      <c r="N320" t="e">
        <f t="shared" ca="1" si="62"/>
        <v>#REF!</v>
      </c>
      <c r="O320" s="150" t="s">
        <v>412</v>
      </c>
      <c r="P320" s="150" t="s">
        <v>428</v>
      </c>
      <c r="Q320" s="150" t="s">
        <v>399</v>
      </c>
      <c r="R320" t="e">
        <f t="shared" ca="1" si="63"/>
        <v>#REF!</v>
      </c>
      <c r="S320" t="s">
        <v>398</v>
      </c>
      <c r="T320" t="s">
        <v>448</v>
      </c>
      <c r="U320" t="str">
        <f t="shared" ca="1" si="55"/>
        <v>Sheets("Master Data").Range("0" &amp; RowNo).Value</v>
      </c>
      <c r="V320" t="e">
        <f t="shared" ca="1" si="64"/>
        <v>#REF!</v>
      </c>
      <c r="X320" t="e">
        <f t="shared" ca="1" si="56"/>
        <v>#REF!</v>
      </c>
      <c r="Z320" t="e">
        <f t="shared" ca="1" si="57"/>
        <v>#REF!</v>
      </c>
      <c r="AB320" t="e">
        <f t="shared" ca="1" si="65"/>
        <v>#REF!</v>
      </c>
      <c r="AD320" t="e">
        <f t="shared" ca="1" si="66"/>
        <v>#REF!</v>
      </c>
    </row>
    <row r="321" spans="1:30" ht="15" x14ac:dyDescent="0.25">
      <c r="A321" s="150">
        <v>314</v>
      </c>
      <c r="B321" s="150" t="str">
        <f t="shared" si="58"/>
        <v>LB1</v>
      </c>
      <c r="D321" t="s">
        <v>416</v>
      </c>
      <c r="E321">
        <f t="shared" ca="1" si="59"/>
        <v>0</v>
      </c>
      <c r="F321" t="e">
        <f t="shared" ca="1" si="67"/>
        <v>#REF!</v>
      </c>
      <c r="G321" t="s">
        <v>417</v>
      </c>
      <c r="H321" t="s">
        <v>421</v>
      </c>
      <c r="I321" t="e">
        <f t="shared" ca="1" si="60"/>
        <v>#REF!</v>
      </c>
      <c r="J321" t="e">
        <f t="shared" ca="1" si="61"/>
        <v>#REF!</v>
      </c>
      <c r="K321" t="s">
        <v>431</v>
      </c>
      <c r="L321" s="150" t="s">
        <v>423</v>
      </c>
      <c r="M321" s="150" t="s">
        <v>435</v>
      </c>
      <c r="N321" t="e">
        <f t="shared" ca="1" si="62"/>
        <v>#REF!</v>
      </c>
      <c r="O321" s="150" t="s">
        <v>412</v>
      </c>
      <c r="P321" s="150" t="s">
        <v>428</v>
      </c>
      <c r="Q321" s="150" t="s">
        <v>399</v>
      </c>
      <c r="R321" t="e">
        <f t="shared" ca="1" si="63"/>
        <v>#REF!</v>
      </c>
      <c r="S321" t="s">
        <v>398</v>
      </c>
      <c r="T321" t="s">
        <v>448</v>
      </c>
      <c r="U321" t="str">
        <f t="shared" ca="1" si="55"/>
        <v>Sheets("Master Data").Range("0" &amp; RowNo).Value</v>
      </c>
      <c r="V321" t="e">
        <f t="shared" ca="1" si="64"/>
        <v>#REF!</v>
      </c>
      <c r="X321" t="e">
        <f t="shared" ca="1" si="56"/>
        <v>#REF!</v>
      </c>
      <c r="Z321" t="e">
        <f t="shared" ca="1" si="57"/>
        <v>#REF!</v>
      </c>
      <c r="AB321" t="e">
        <f t="shared" ca="1" si="65"/>
        <v>#REF!</v>
      </c>
      <c r="AD321" t="e">
        <f t="shared" ca="1" si="66"/>
        <v>#REF!</v>
      </c>
    </row>
    <row r="322" spans="1:30" ht="15" x14ac:dyDescent="0.25">
      <c r="A322" s="150">
        <v>315</v>
      </c>
      <c r="B322" s="150" t="str">
        <f t="shared" si="58"/>
        <v>LC1</v>
      </c>
      <c r="D322" t="s">
        <v>416</v>
      </c>
      <c r="E322">
        <f t="shared" ca="1" si="59"/>
        <v>0</v>
      </c>
      <c r="F322" t="e">
        <f t="shared" ca="1" si="67"/>
        <v>#REF!</v>
      </c>
      <c r="G322" t="s">
        <v>417</v>
      </c>
      <c r="H322" t="s">
        <v>421</v>
      </c>
      <c r="I322" t="e">
        <f t="shared" ca="1" si="60"/>
        <v>#REF!</v>
      </c>
      <c r="J322" t="e">
        <f t="shared" ca="1" si="61"/>
        <v>#REF!</v>
      </c>
      <c r="K322" t="s">
        <v>431</v>
      </c>
      <c r="L322" s="150" t="s">
        <v>423</v>
      </c>
      <c r="M322" s="150" t="s">
        <v>435</v>
      </c>
      <c r="N322" t="e">
        <f t="shared" ca="1" si="62"/>
        <v>#REF!</v>
      </c>
      <c r="O322" s="150" t="s">
        <v>412</v>
      </c>
      <c r="P322" s="150" t="s">
        <v>428</v>
      </c>
      <c r="Q322" s="150" t="s">
        <v>399</v>
      </c>
      <c r="R322" t="e">
        <f t="shared" ca="1" si="63"/>
        <v>#REF!</v>
      </c>
      <c r="S322" t="s">
        <v>398</v>
      </c>
      <c r="T322" t="s">
        <v>448</v>
      </c>
      <c r="U322" t="str">
        <f t="shared" ca="1" si="55"/>
        <v>Sheets("Master Data").Range("0" &amp; RowNo).Value</v>
      </c>
      <c r="V322" t="e">
        <f t="shared" ca="1" si="64"/>
        <v>#REF!</v>
      </c>
      <c r="X322" t="e">
        <f t="shared" ca="1" si="56"/>
        <v>#REF!</v>
      </c>
      <c r="Z322" t="e">
        <f t="shared" ca="1" si="57"/>
        <v>#REF!</v>
      </c>
      <c r="AB322" t="e">
        <f t="shared" ca="1" si="65"/>
        <v>#REF!</v>
      </c>
      <c r="AD322" t="e">
        <f t="shared" ca="1" si="66"/>
        <v>#REF!</v>
      </c>
    </row>
    <row r="323" spans="1:30" ht="15" x14ac:dyDescent="0.25">
      <c r="A323" s="150">
        <v>316</v>
      </c>
      <c r="B323" s="150" t="str">
        <f t="shared" si="58"/>
        <v>LD1</v>
      </c>
      <c r="D323" t="s">
        <v>416</v>
      </c>
      <c r="E323">
        <f t="shared" ca="1" si="59"/>
        <v>0</v>
      </c>
      <c r="F323" t="e">
        <f t="shared" ca="1" si="67"/>
        <v>#REF!</v>
      </c>
      <c r="G323" t="s">
        <v>417</v>
      </c>
      <c r="H323" t="s">
        <v>421</v>
      </c>
      <c r="I323" t="e">
        <f t="shared" ca="1" si="60"/>
        <v>#REF!</v>
      </c>
      <c r="J323" t="e">
        <f t="shared" ca="1" si="61"/>
        <v>#REF!</v>
      </c>
      <c r="K323" t="s">
        <v>431</v>
      </c>
      <c r="L323" s="150" t="s">
        <v>423</v>
      </c>
      <c r="M323" s="150" t="s">
        <v>435</v>
      </c>
      <c r="N323" t="e">
        <f t="shared" ca="1" si="62"/>
        <v>#REF!</v>
      </c>
      <c r="O323" s="150" t="s">
        <v>412</v>
      </c>
      <c r="P323" s="150" t="s">
        <v>428</v>
      </c>
      <c r="Q323" s="150" t="s">
        <v>399</v>
      </c>
      <c r="R323" t="e">
        <f t="shared" ca="1" si="63"/>
        <v>#REF!</v>
      </c>
      <c r="S323" t="s">
        <v>398</v>
      </c>
      <c r="T323" t="s">
        <v>448</v>
      </c>
      <c r="U323" t="str">
        <f t="shared" ca="1" si="55"/>
        <v>Sheets("Master Data").Range("0" &amp; RowNo).Value</v>
      </c>
      <c r="V323" t="e">
        <f t="shared" ca="1" si="64"/>
        <v>#REF!</v>
      </c>
      <c r="X323" t="e">
        <f t="shared" ca="1" si="56"/>
        <v>#REF!</v>
      </c>
      <c r="Z323" t="e">
        <f t="shared" ca="1" si="57"/>
        <v>#REF!</v>
      </c>
      <c r="AB323" t="e">
        <f t="shared" ca="1" si="65"/>
        <v>#REF!</v>
      </c>
      <c r="AD323" t="e">
        <f t="shared" ca="1" si="66"/>
        <v>#REF!</v>
      </c>
    </row>
    <row r="324" spans="1:30" ht="15" x14ac:dyDescent="0.25">
      <c r="A324" s="150">
        <v>317</v>
      </c>
      <c r="B324" s="150" t="str">
        <f t="shared" si="58"/>
        <v>LE1</v>
      </c>
      <c r="D324" t="s">
        <v>416</v>
      </c>
      <c r="E324">
        <f t="shared" ca="1" si="59"/>
        <v>0</v>
      </c>
      <c r="F324" t="e">
        <f t="shared" ca="1" si="67"/>
        <v>#REF!</v>
      </c>
      <c r="G324" t="s">
        <v>417</v>
      </c>
      <c r="H324" t="s">
        <v>421</v>
      </c>
      <c r="I324" t="e">
        <f t="shared" ca="1" si="60"/>
        <v>#REF!</v>
      </c>
      <c r="J324" t="e">
        <f t="shared" ca="1" si="61"/>
        <v>#REF!</v>
      </c>
      <c r="K324" t="s">
        <v>431</v>
      </c>
      <c r="L324" s="150" t="s">
        <v>423</v>
      </c>
      <c r="M324" s="150" t="s">
        <v>435</v>
      </c>
      <c r="N324" t="e">
        <f t="shared" ca="1" si="62"/>
        <v>#REF!</v>
      </c>
      <c r="O324" s="150" t="s">
        <v>412</v>
      </c>
      <c r="P324" s="150" t="s">
        <v>428</v>
      </c>
      <c r="Q324" s="150" t="s">
        <v>399</v>
      </c>
      <c r="R324" t="e">
        <f t="shared" ca="1" si="63"/>
        <v>#REF!</v>
      </c>
      <c r="S324" t="s">
        <v>398</v>
      </c>
      <c r="T324" t="s">
        <v>448</v>
      </c>
      <c r="U324" t="str">
        <f t="shared" ca="1" si="55"/>
        <v>Sheets("Master Data").Range("0" &amp; RowNo).Value</v>
      </c>
      <c r="V324" t="e">
        <f t="shared" ca="1" si="64"/>
        <v>#REF!</v>
      </c>
      <c r="X324" t="e">
        <f t="shared" ca="1" si="56"/>
        <v>#REF!</v>
      </c>
      <c r="Z324" t="e">
        <f t="shared" ca="1" si="57"/>
        <v>#REF!</v>
      </c>
      <c r="AB324" t="e">
        <f t="shared" ca="1" si="65"/>
        <v>#REF!</v>
      </c>
      <c r="AD324" t="e">
        <f t="shared" ca="1" si="66"/>
        <v>#REF!</v>
      </c>
    </row>
    <row r="325" spans="1:30" ht="15" x14ac:dyDescent="0.25">
      <c r="A325" s="150">
        <v>318</v>
      </c>
      <c r="B325" s="150" t="str">
        <f t="shared" si="58"/>
        <v>LF1</v>
      </c>
      <c r="D325" t="s">
        <v>416</v>
      </c>
      <c r="E325">
        <f t="shared" ca="1" si="59"/>
        <v>0</v>
      </c>
      <c r="F325" t="e">
        <f t="shared" ca="1" si="67"/>
        <v>#REF!</v>
      </c>
      <c r="G325" t="s">
        <v>417</v>
      </c>
      <c r="H325" t="s">
        <v>421</v>
      </c>
      <c r="I325" t="e">
        <f t="shared" ca="1" si="60"/>
        <v>#REF!</v>
      </c>
      <c r="J325" t="e">
        <f t="shared" ca="1" si="61"/>
        <v>#REF!</v>
      </c>
      <c r="K325" t="s">
        <v>431</v>
      </c>
      <c r="L325" s="150" t="s">
        <v>423</v>
      </c>
      <c r="M325" s="150" t="s">
        <v>435</v>
      </c>
      <c r="N325" t="e">
        <f t="shared" ca="1" si="62"/>
        <v>#REF!</v>
      </c>
      <c r="O325" s="150" t="s">
        <v>412</v>
      </c>
      <c r="P325" s="150" t="s">
        <v>428</v>
      </c>
      <c r="Q325" s="150" t="s">
        <v>399</v>
      </c>
      <c r="R325" t="e">
        <f t="shared" ca="1" si="63"/>
        <v>#REF!</v>
      </c>
      <c r="S325" t="s">
        <v>398</v>
      </c>
      <c r="T325" t="s">
        <v>448</v>
      </c>
      <c r="U325" t="str">
        <f t="shared" ca="1" si="55"/>
        <v>Sheets("Master Data").Range("0" &amp; RowNo).Value</v>
      </c>
      <c r="V325" t="e">
        <f t="shared" ca="1" si="64"/>
        <v>#REF!</v>
      </c>
      <c r="X325" t="e">
        <f t="shared" ca="1" si="56"/>
        <v>#REF!</v>
      </c>
      <c r="Z325" t="e">
        <f t="shared" ca="1" si="57"/>
        <v>#REF!</v>
      </c>
      <c r="AB325" t="e">
        <f t="shared" ca="1" si="65"/>
        <v>#REF!</v>
      </c>
      <c r="AD325" t="e">
        <f t="shared" ca="1" si="66"/>
        <v>#REF!</v>
      </c>
    </row>
    <row r="326" spans="1:30" ht="15" x14ac:dyDescent="0.25">
      <c r="A326" s="150">
        <v>319</v>
      </c>
      <c r="B326" s="150" t="str">
        <f t="shared" si="58"/>
        <v>LG1</v>
      </c>
      <c r="D326" t="s">
        <v>416</v>
      </c>
      <c r="E326">
        <f t="shared" ca="1" si="59"/>
        <v>0</v>
      </c>
      <c r="F326" t="e">
        <f t="shared" ca="1" si="67"/>
        <v>#REF!</v>
      </c>
      <c r="G326" t="s">
        <v>417</v>
      </c>
      <c r="H326" t="s">
        <v>421</v>
      </c>
      <c r="I326" t="e">
        <f t="shared" ca="1" si="60"/>
        <v>#REF!</v>
      </c>
      <c r="J326" t="e">
        <f t="shared" ca="1" si="61"/>
        <v>#REF!</v>
      </c>
      <c r="K326" t="s">
        <v>431</v>
      </c>
      <c r="L326" s="150" t="s">
        <v>423</v>
      </c>
      <c r="M326" s="150" t="s">
        <v>435</v>
      </c>
      <c r="N326" t="e">
        <f t="shared" ca="1" si="62"/>
        <v>#REF!</v>
      </c>
      <c r="O326" s="150" t="s">
        <v>412</v>
      </c>
      <c r="P326" s="150" t="s">
        <v>428</v>
      </c>
      <c r="Q326" s="150" t="s">
        <v>399</v>
      </c>
      <c r="R326" t="e">
        <f t="shared" ca="1" si="63"/>
        <v>#REF!</v>
      </c>
      <c r="S326" t="s">
        <v>398</v>
      </c>
      <c r="T326" t="s">
        <v>448</v>
      </c>
      <c r="U326" t="str">
        <f t="shared" ca="1" si="55"/>
        <v>Sheets("Master Data").Range("0" &amp; RowNo).Value</v>
      </c>
      <c r="V326" t="e">
        <f t="shared" ca="1" si="64"/>
        <v>#REF!</v>
      </c>
      <c r="X326" t="e">
        <f t="shared" ca="1" si="56"/>
        <v>#REF!</v>
      </c>
      <c r="Z326" t="e">
        <f t="shared" ca="1" si="57"/>
        <v>#REF!</v>
      </c>
      <c r="AB326" t="e">
        <f t="shared" ca="1" si="65"/>
        <v>#REF!</v>
      </c>
      <c r="AD326" t="e">
        <f t="shared" ca="1" si="66"/>
        <v>#REF!</v>
      </c>
    </row>
    <row r="327" spans="1:30" ht="15" x14ac:dyDescent="0.25">
      <c r="A327" s="150">
        <v>320</v>
      </c>
      <c r="B327" s="150" t="str">
        <f t="shared" si="58"/>
        <v>LH1</v>
      </c>
      <c r="D327" t="s">
        <v>416</v>
      </c>
      <c r="E327">
        <f t="shared" ca="1" si="59"/>
        <v>0</v>
      </c>
      <c r="F327" t="e">
        <f t="shared" ca="1" si="67"/>
        <v>#REF!</v>
      </c>
      <c r="G327" t="s">
        <v>417</v>
      </c>
      <c r="H327" t="s">
        <v>421</v>
      </c>
      <c r="I327" t="e">
        <f t="shared" ca="1" si="60"/>
        <v>#REF!</v>
      </c>
      <c r="J327" t="e">
        <f t="shared" ca="1" si="61"/>
        <v>#REF!</v>
      </c>
      <c r="K327" t="s">
        <v>431</v>
      </c>
      <c r="L327" s="150" t="s">
        <v>423</v>
      </c>
      <c r="M327" s="150" t="s">
        <v>435</v>
      </c>
      <c r="N327" t="e">
        <f t="shared" ca="1" si="62"/>
        <v>#REF!</v>
      </c>
      <c r="O327" s="150" t="s">
        <v>412</v>
      </c>
      <c r="P327" s="150" t="s">
        <v>428</v>
      </c>
      <c r="Q327" s="150" t="s">
        <v>399</v>
      </c>
      <c r="R327" t="e">
        <f t="shared" ca="1" si="63"/>
        <v>#REF!</v>
      </c>
      <c r="S327" t="s">
        <v>398</v>
      </c>
      <c r="T327" t="s">
        <v>448</v>
      </c>
      <c r="U327" t="str">
        <f t="shared" ca="1" si="55"/>
        <v>Sheets("Master Data").Range("0" &amp; RowNo).Value</v>
      </c>
      <c r="V327" t="e">
        <f t="shared" ca="1" si="64"/>
        <v>#REF!</v>
      </c>
      <c r="X327" t="e">
        <f t="shared" ca="1" si="56"/>
        <v>#REF!</v>
      </c>
      <c r="Z327" t="e">
        <f t="shared" ca="1" si="57"/>
        <v>#REF!</v>
      </c>
      <c r="AB327" t="e">
        <f t="shared" ca="1" si="65"/>
        <v>#REF!</v>
      </c>
      <c r="AD327" t="e">
        <f t="shared" ca="1" si="66"/>
        <v>#REF!</v>
      </c>
    </row>
    <row r="328" spans="1:30" ht="15" x14ac:dyDescent="0.25">
      <c r="A328" s="150">
        <v>321</v>
      </c>
      <c r="B328" s="150" t="str">
        <f t="shared" si="58"/>
        <v>LI1</v>
      </c>
      <c r="D328" t="s">
        <v>416</v>
      </c>
      <c r="E328">
        <f t="shared" ca="1" si="59"/>
        <v>0</v>
      </c>
      <c r="F328" t="e">
        <f t="shared" ca="1" si="67"/>
        <v>#REF!</v>
      </c>
      <c r="G328" t="s">
        <v>417</v>
      </c>
      <c r="H328" t="s">
        <v>421</v>
      </c>
      <c r="I328" t="e">
        <f t="shared" ca="1" si="60"/>
        <v>#REF!</v>
      </c>
      <c r="J328" t="e">
        <f t="shared" ca="1" si="61"/>
        <v>#REF!</v>
      </c>
      <c r="K328" t="s">
        <v>431</v>
      </c>
      <c r="L328" s="150" t="s">
        <v>423</v>
      </c>
      <c r="M328" s="150" t="s">
        <v>435</v>
      </c>
      <c r="N328" t="e">
        <f t="shared" ca="1" si="62"/>
        <v>#REF!</v>
      </c>
      <c r="O328" s="150" t="s">
        <v>412</v>
      </c>
      <c r="P328" s="150" t="s">
        <v>428</v>
      </c>
      <c r="Q328" s="150" t="s">
        <v>399</v>
      </c>
      <c r="R328" t="e">
        <f t="shared" ca="1" si="63"/>
        <v>#REF!</v>
      </c>
      <c r="S328" t="s">
        <v>398</v>
      </c>
      <c r="T328" t="s">
        <v>448</v>
      </c>
      <c r="U328" t="str">
        <f t="shared" ref="U328:U391" ca="1" si="68">CONCATENATE(S328,L328,E328,L328,M328,K328,Q328)</f>
        <v>Sheets("Master Data").Range("0" &amp; RowNo).Value</v>
      </c>
      <c r="V328" t="e">
        <f t="shared" ca="1" si="64"/>
        <v>#REF!</v>
      </c>
      <c r="X328" t="e">
        <f t="shared" ref="X328:X391" ca="1" si="69">CONCATENATE(U328,O328,R328)</f>
        <v>#REF!</v>
      </c>
      <c r="Z328" t="e">
        <f t="shared" ref="Z328:Z391" ca="1" si="70">CONCATENATE(R328,O328,U328)</f>
        <v>#REF!</v>
      </c>
      <c r="AB328" t="e">
        <f t="shared" ca="1" si="65"/>
        <v>#REF!</v>
      </c>
      <c r="AD328" t="e">
        <f t="shared" ca="1" si="66"/>
        <v>#REF!</v>
      </c>
    </row>
    <row r="329" spans="1:30" x14ac:dyDescent="0.3">
      <c r="A329" s="150">
        <v>322</v>
      </c>
      <c r="B329" s="150" t="str">
        <f t="shared" ref="B329:B392" si="71">ADDRESS(1, A329, 4)</f>
        <v>LJ1</v>
      </c>
      <c r="D329" t="s">
        <v>416</v>
      </c>
      <c r="E329">
        <f t="shared" ref="E329:E392" ca="1" si="72">INDIRECT("'Master Data'!" &amp; B329)</f>
        <v>0</v>
      </c>
      <c r="F329" t="e">
        <f t="shared" ca="1" si="67"/>
        <v>#REF!</v>
      </c>
      <c r="G329" t="s">
        <v>417</v>
      </c>
      <c r="H329" t="s">
        <v>421</v>
      </c>
      <c r="I329" t="e">
        <f t="shared" ref="I329:I392" ca="1" si="73">SUBSTITUTE(INDIRECT("'Master Data'!" &amp; E329 &amp; 2),"$","")</f>
        <v>#REF!</v>
      </c>
      <c r="J329" t="e">
        <f t="shared" ref="J329:J392" ca="1" si="74">SUBSTITUTE(INDIRECT("'Master Data'!" &amp; E329 &amp; 3),"$","")</f>
        <v>#REF!</v>
      </c>
      <c r="K329" t="s">
        <v>431</v>
      </c>
      <c r="L329" s="150" t="s">
        <v>423</v>
      </c>
      <c r="M329" s="150" t="s">
        <v>435</v>
      </c>
      <c r="N329" t="e">
        <f t="shared" ref="N329:N392" ca="1" si="75">INDIRECT("'Master Data'!" &amp; E329 &amp; 3)</f>
        <v>#REF!</v>
      </c>
      <c r="O329" s="150" t="s">
        <v>412</v>
      </c>
      <c r="P329" s="150" t="s">
        <v>428</v>
      </c>
      <c r="Q329" s="150" t="s">
        <v>399</v>
      </c>
      <c r="R329" t="e">
        <f t="shared" ref="R329:R392" ca="1" si="76">CONCATENATE(P329,L329,I329,L329,Q329)</f>
        <v>#REF!</v>
      </c>
      <c r="S329" t="s">
        <v>398</v>
      </c>
      <c r="T329" t="s">
        <v>448</v>
      </c>
      <c r="U329" t="str">
        <f t="shared" ca="1" si="68"/>
        <v>Sheets("Master Data").Range("0" &amp; RowNo).Value</v>
      </c>
      <c r="V329" t="e">
        <f t="shared" ref="V329:V392" ca="1" si="77">CONCATENATE(T329,L329,J329,L329,Q329)</f>
        <v>#REF!</v>
      </c>
      <c r="X329" t="e">
        <f t="shared" ca="1" si="69"/>
        <v>#REF!</v>
      </c>
      <c r="Z329" t="e">
        <f t="shared" ca="1" si="70"/>
        <v>#REF!</v>
      </c>
      <c r="AB329" t="e">
        <f t="shared" ref="AB329:AB392" ca="1" si="78">CONCATENATE(V329,O329,R329)</f>
        <v>#REF!</v>
      </c>
      <c r="AD329" t="e">
        <f t="shared" ca="1" si="66"/>
        <v>#REF!</v>
      </c>
    </row>
    <row r="330" spans="1:30" x14ac:dyDescent="0.3">
      <c r="A330" s="150">
        <v>323</v>
      </c>
      <c r="B330" s="150" t="str">
        <f t="shared" si="71"/>
        <v>LK1</v>
      </c>
      <c r="D330" t="s">
        <v>416</v>
      </c>
      <c r="E330">
        <f t="shared" ca="1" si="72"/>
        <v>0</v>
      </c>
      <c r="F330" t="e">
        <f t="shared" ca="1" si="67"/>
        <v>#REF!</v>
      </c>
      <c r="G330" t="s">
        <v>417</v>
      </c>
      <c r="H330" t="s">
        <v>421</v>
      </c>
      <c r="I330" t="e">
        <f t="shared" ca="1" si="73"/>
        <v>#REF!</v>
      </c>
      <c r="J330" t="e">
        <f t="shared" ca="1" si="74"/>
        <v>#REF!</v>
      </c>
      <c r="K330" t="s">
        <v>431</v>
      </c>
      <c r="L330" s="150" t="s">
        <v>423</v>
      </c>
      <c r="M330" s="150" t="s">
        <v>435</v>
      </c>
      <c r="N330" t="e">
        <f t="shared" ca="1" si="75"/>
        <v>#REF!</v>
      </c>
      <c r="O330" s="150" t="s">
        <v>412</v>
      </c>
      <c r="P330" s="150" t="s">
        <v>428</v>
      </c>
      <c r="Q330" s="150" t="s">
        <v>399</v>
      </c>
      <c r="R330" t="e">
        <f t="shared" ca="1" si="76"/>
        <v>#REF!</v>
      </c>
      <c r="S330" t="s">
        <v>398</v>
      </c>
      <c r="T330" t="s">
        <v>448</v>
      </c>
      <c r="U330" t="str">
        <f t="shared" ca="1" si="68"/>
        <v>Sheets("Master Data").Range("0" &amp; RowNo).Value</v>
      </c>
      <c r="V330" t="e">
        <f t="shared" ca="1" si="77"/>
        <v>#REF!</v>
      </c>
      <c r="X330" t="e">
        <f t="shared" ca="1" si="69"/>
        <v>#REF!</v>
      </c>
      <c r="Z330" t="e">
        <f t="shared" ca="1" si="70"/>
        <v>#REF!</v>
      </c>
      <c r="AB330" t="e">
        <f t="shared" ca="1" si="78"/>
        <v>#REF!</v>
      </c>
      <c r="AD330" t="e">
        <f t="shared" ca="1" si="66"/>
        <v>#REF!</v>
      </c>
    </row>
    <row r="331" spans="1:30" x14ac:dyDescent="0.3">
      <c r="A331" s="150">
        <v>324</v>
      </c>
      <c r="B331" s="150" t="str">
        <f t="shared" si="71"/>
        <v>LL1</v>
      </c>
      <c r="D331" t="s">
        <v>416</v>
      </c>
      <c r="E331">
        <f t="shared" ca="1" si="72"/>
        <v>0</v>
      </c>
      <c r="F331" t="e">
        <f t="shared" ca="1" si="67"/>
        <v>#REF!</v>
      </c>
      <c r="G331" t="s">
        <v>417</v>
      </c>
      <c r="H331" t="s">
        <v>421</v>
      </c>
      <c r="I331" t="e">
        <f t="shared" ca="1" si="73"/>
        <v>#REF!</v>
      </c>
      <c r="J331" t="e">
        <f t="shared" ca="1" si="74"/>
        <v>#REF!</v>
      </c>
      <c r="K331" t="s">
        <v>431</v>
      </c>
      <c r="L331" s="150" t="s">
        <v>423</v>
      </c>
      <c r="M331" s="150" t="s">
        <v>435</v>
      </c>
      <c r="N331" t="e">
        <f t="shared" ca="1" si="75"/>
        <v>#REF!</v>
      </c>
      <c r="O331" s="150" t="s">
        <v>412</v>
      </c>
      <c r="P331" s="150" t="s">
        <v>428</v>
      </c>
      <c r="Q331" s="150" t="s">
        <v>399</v>
      </c>
      <c r="R331" t="e">
        <f t="shared" ca="1" si="76"/>
        <v>#REF!</v>
      </c>
      <c r="S331" t="s">
        <v>398</v>
      </c>
      <c r="T331" t="s">
        <v>448</v>
      </c>
      <c r="U331" t="str">
        <f t="shared" ca="1" si="68"/>
        <v>Sheets("Master Data").Range("0" &amp; RowNo).Value</v>
      </c>
      <c r="V331" t="e">
        <f t="shared" ca="1" si="77"/>
        <v>#REF!</v>
      </c>
      <c r="X331" t="e">
        <f t="shared" ca="1" si="69"/>
        <v>#REF!</v>
      </c>
      <c r="Z331" t="e">
        <f t="shared" ca="1" si="70"/>
        <v>#REF!</v>
      </c>
      <c r="AB331" t="e">
        <f t="shared" ca="1" si="78"/>
        <v>#REF!</v>
      </c>
      <c r="AD331" t="e">
        <f t="shared" ca="1" si="66"/>
        <v>#REF!</v>
      </c>
    </row>
    <row r="332" spans="1:30" x14ac:dyDescent="0.3">
      <c r="A332" s="150">
        <v>325</v>
      </c>
      <c r="B332" s="150" t="str">
        <f t="shared" si="71"/>
        <v>LM1</v>
      </c>
      <c r="D332" t="s">
        <v>416</v>
      </c>
      <c r="E332">
        <f t="shared" ca="1" si="72"/>
        <v>0</v>
      </c>
      <c r="F332" t="e">
        <f t="shared" ca="1" si="67"/>
        <v>#REF!</v>
      </c>
      <c r="G332" t="s">
        <v>417</v>
      </c>
      <c r="H332" t="s">
        <v>421</v>
      </c>
      <c r="I332" t="e">
        <f t="shared" ca="1" si="73"/>
        <v>#REF!</v>
      </c>
      <c r="J332" t="e">
        <f t="shared" ca="1" si="74"/>
        <v>#REF!</v>
      </c>
      <c r="K332" t="s">
        <v>431</v>
      </c>
      <c r="L332" s="150" t="s">
        <v>423</v>
      </c>
      <c r="M332" s="150" t="s">
        <v>435</v>
      </c>
      <c r="N332" t="e">
        <f t="shared" ca="1" si="75"/>
        <v>#REF!</v>
      </c>
      <c r="O332" s="150" t="s">
        <v>412</v>
      </c>
      <c r="P332" s="150" t="s">
        <v>428</v>
      </c>
      <c r="Q332" s="150" t="s">
        <v>399</v>
      </c>
      <c r="R332" t="e">
        <f t="shared" ca="1" si="76"/>
        <v>#REF!</v>
      </c>
      <c r="S332" t="s">
        <v>398</v>
      </c>
      <c r="T332" t="s">
        <v>448</v>
      </c>
      <c r="U332" t="str">
        <f t="shared" ca="1" si="68"/>
        <v>Sheets("Master Data").Range("0" &amp; RowNo).Value</v>
      </c>
      <c r="V332" t="e">
        <f t="shared" ca="1" si="77"/>
        <v>#REF!</v>
      </c>
      <c r="X332" t="e">
        <f t="shared" ca="1" si="69"/>
        <v>#REF!</v>
      </c>
      <c r="Z332" t="e">
        <f t="shared" ca="1" si="70"/>
        <v>#REF!</v>
      </c>
      <c r="AB332" t="e">
        <f t="shared" ca="1" si="78"/>
        <v>#REF!</v>
      </c>
      <c r="AD332" t="e">
        <f t="shared" ca="1" si="66"/>
        <v>#REF!</v>
      </c>
    </row>
    <row r="333" spans="1:30" x14ac:dyDescent="0.3">
      <c r="A333" s="150">
        <v>326</v>
      </c>
      <c r="B333" s="150" t="str">
        <f t="shared" si="71"/>
        <v>LN1</v>
      </c>
      <c r="D333" t="s">
        <v>416</v>
      </c>
      <c r="E333">
        <f t="shared" ca="1" si="72"/>
        <v>0</v>
      </c>
      <c r="F333" t="e">
        <f t="shared" ca="1" si="67"/>
        <v>#REF!</v>
      </c>
      <c r="G333" t="s">
        <v>417</v>
      </c>
      <c r="H333" t="s">
        <v>421</v>
      </c>
      <c r="I333" t="e">
        <f t="shared" ca="1" si="73"/>
        <v>#REF!</v>
      </c>
      <c r="J333" t="e">
        <f t="shared" ca="1" si="74"/>
        <v>#REF!</v>
      </c>
      <c r="K333" t="s">
        <v>431</v>
      </c>
      <c r="L333" s="150" t="s">
        <v>423</v>
      </c>
      <c r="M333" s="150" t="s">
        <v>435</v>
      </c>
      <c r="N333" t="e">
        <f t="shared" ca="1" si="75"/>
        <v>#REF!</v>
      </c>
      <c r="O333" s="150" t="s">
        <v>412</v>
      </c>
      <c r="P333" s="150" t="s">
        <v>428</v>
      </c>
      <c r="Q333" s="150" t="s">
        <v>399</v>
      </c>
      <c r="R333" t="e">
        <f t="shared" ca="1" si="76"/>
        <v>#REF!</v>
      </c>
      <c r="S333" t="s">
        <v>398</v>
      </c>
      <c r="T333" t="s">
        <v>448</v>
      </c>
      <c r="U333" t="str">
        <f t="shared" ca="1" si="68"/>
        <v>Sheets("Master Data").Range("0" &amp; RowNo).Value</v>
      </c>
      <c r="V333" t="e">
        <f t="shared" ca="1" si="77"/>
        <v>#REF!</v>
      </c>
      <c r="X333" t="e">
        <f t="shared" ca="1" si="69"/>
        <v>#REF!</v>
      </c>
      <c r="Z333" t="e">
        <f t="shared" ca="1" si="70"/>
        <v>#REF!</v>
      </c>
      <c r="AB333" t="e">
        <f t="shared" ca="1" si="78"/>
        <v>#REF!</v>
      </c>
      <c r="AD333" t="e">
        <f t="shared" ca="1" si="66"/>
        <v>#REF!</v>
      </c>
    </row>
    <row r="334" spans="1:30" x14ac:dyDescent="0.3">
      <c r="A334" s="150">
        <v>327</v>
      </c>
      <c r="B334" s="150" t="str">
        <f t="shared" si="71"/>
        <v>LO1</v>
      </c>
      <c r="D334" t="s">
        <v>416</v>
      </c>
      <c r="E334">
        <f t="shared" ca="1" si="72"/>
        <v>0</v>
      </c>
      <c r="F334" t="e">
        <f t="shared" ca="1" si="67"/>
        <v>#REF!</v>
      </c>
      <c r="G334" t="s">
        <v>417</v>
      </c>
      <c r="H334" t="s">
        <v>421</v>
      </c>
      <c r="I334" t="e">
        <f t="shared" ca="1" si="73"/>
        <v>#REF!</v>
      </c>
      <c r="J334" t="e">
        <f t="shared" ca="1" si="74"/>
        <v>#REF!</v>
      </c>
      <c r="K334" t="s">
        <v>431</v>
      </c>
      <c r="L334" s="150" t="s">
        <v>423</v>
      </c>
      <c r="M334" s="150" t="s">
        <v>435</v>
      </c>
      <c r="N334" t="e">
        <f t="shared" ca="1" si="75"/>
        <v>#REF!</v>
      </c>
      <c r="O334" s="150" t="s">
        <v>412</v>
      </c>
      <c r="P334" s="150" t="s">
        <v>428</v>
      </c>
      <c r="Q334" s="150" t="s">
        <v>399</v>
      </c>
      <c r="R334" t="e">
        <f t="shared" ca="1" si="76"/>
        <v>#REF!</v>
      </c>
      <c r="S334" t="s">
        <v>398</v>
      </c>
      <c r="T334" t="s">
        <v>448</v>
      </c>
      <c r="U334" t="str">
        <f t="shared" ca="1" si="68"/>
        <v>Sheets("Master Data").Range("0" &amp; RowNo).Value</v>
      </c>
      <c r="V334" t="e">
        <f t="shared" ca="1" si="77"/>
        <v>#REF!</v>
      </c>
      <c r="X334" t="e">
        <f t="shared" ca="1" si="69"/>
        <v>#REF!</v>
      </c>
      <c r="Z334" t="e">
        <f t="shared" ca="1" si="70"/>
        <v>#REF!</v>
      </c>
      <c r="AB334" t="e">
        <f t="shared" ca="1" si="78"/>
        <v>#REF!</v>
      </c>
      <c r="AD334" t="e">
        <f t="shared" ca="1" si="66"/>
        <v>#REF!</v>
      </c>
    </row>
    <row r="335" spans="1:30" x14ac:dyDescent="0.3">
      <c r="A335" s="150">
        <v>328</v>
      </c>
      <c r="B335" s="150" t="str">
        <f t="shared" si="71"/>
        <v>LP1</v>
      </c>
      <c r="D335" t="s">
        <v>416</v>
      </c>
      <c r="E335">
        <f t="shared" ca="1" si="72"/>
        <v>0</v>
      </c>
      <c r="F335" t="e">
        <f t="shared" ca="1" si="67"/>
        <v>#REF!</v>
      </c>
      <c r="G335" t="s">
        <v>417</v>
      </c>
      <c r="H335" t="s">
        <v>421</v>
      </c>
      <c r="I335" t="e">
        <f t="shared" ca="1" si="73"/>
        <v>#REF!</v>
      </c>
      <c r="J335" t="e">
        <f t="shared" ca="1" si="74"/>
        <v>#REF!</v>
      </c>
      <c r="K335" t="s">
        <v>431</v>
      </c>
      <c r="L335" s="150" t="s">
        <v>423</v>
      </c>
      <c r="M335" s="150" t="s">
        <v>435</v>
      </c>
      <c r="N335" t="e">
        <f t="shared" ca="1" si="75"/>
        <v>#REF!</v>
      </c>
      <c r="O335" s="150" t="s">
        <v>412</v>
      </c>
      <c r="P335" s="150" t="s">
        <v>428</v>
      </c>
      <c r="Q335" s="150" t="s">
        <v>399</v>
      </c>
      <c r="R335" t="e">
        <f t="shared" ca="1" si="76"/>
        <v>#REF!</v>
      </c>
      <c r="S335" t="s">
        <v>398</v>
      </c>
      <c r="T335" t="s">
        <v>448</v>
      </c>
      <c r="U335" t="str">
        <f t="shared" ca="1" si="68"/>
        <v>Sheets("Master Data").Range("0" &amp; RowNo).Value</v>
      </c>
      <c r="V335" t="e">
        <f t="shared" ca="1" si="77"/>
        <v>#REF!</v>
      </c>
      <c r="X335" t="e">
        <f t="shared" ca="1" si="69"/>
        <v>#REF!</v>
      </c>
      <c r="Z335" t="e">
        <f t="shared" ca="1" si="70"/>
        <v>#REF!</v>
      </c>
      <c r="AB335" t="e">
        <f t="shared" ca="1" si="78"/>
        <v>#REF!</v>
      </c>
      <c r="AD335" t="e">
        <f t="shared" ca="1" si="66"/>
        <v>#REF!</v>
      </c>
    </row>
    <row r="336" spans="1:30" x14ac:dyDescent="0.3">
      <c r="A336" s="150">
        <v>329</v>
      </c>
      <c r="B336" s="150" t="str">
        <f t="shared" si="71"/>
        <v>LQ1</v>
      </c>
      <c r="D336" t="s">
        <v>416</v>
      </c>
      <c r="E336">
        <f t="shared" ca="1" si="72"/>
        <v>0</v>
      </c>
      <c r="F336" t="e">
        <f t="shared" ca="1" si="67"/>
        <v>#REF!</v>
      </c>
      <c r="G336" t="s">
        <v>417</v>
      </c>
      <c r="H336" t="s">
        <v>421</v>
      </c>
      <c r="I336" t="e">
        <f t="shared" ca="1" si="73"/>
        <v>#REF!</v>
      </c>
      <c r="J336" t="e">
        <f t="shared" ca="1" si="74"/>
        <v>#REF!</v>
      </c>
      <c r="K336" t="s">
        <v>431</v>
      </c>
      <c r="L336" s="150" t="s">
        <v>423</v>
      </c>
      <c r="M336" s="150" t="s">
        <v>435</v>
      </c>
      <c r="N336" t="e">
        <f t="shared" ca="1" si="75"/>
        <v>#REF!</v>
      </c>
      <c r="O336" s="150" t="s">
        <v>412</v>
      </c>
      <c r="P336" s="150" t="s">
        <v>428</v>
      </c>
      <c r="Q336" s="150" t="s">
        <v>399</v>
      </c>
      <c r="R336" t="e">
        <f t="shared" ca="1" si="76"/>
        <v>#REF!</v>
      </c>
      <c r="S336" t="s">
        <v>398</v>
      </c>
      <c r="T336" t="s">
        <v>448</v>
      </c>
      <c r="U336" t="str">
        <f t="shared" ca="1" si="68"/>
        <v>Sheets("Master Data").Range("0" &amp; RowNo).Value</v>
      </c>
      <c r="V336" t="e">
        <f t="shared" ca="1" si="77"/>
        <v>#REF!</v>
      </c>
      <c r="X336" t="e">
        <f t="shared" ca="1" si="69"/>
        <v>#REF!</v>
      </c>
      <c r="Z336" t="e">
        <f t="shared" ca="1" si="70"/>
        <v>#REF!</v>
      </c>
      <c r="AB336" t="e">
        <f t="shared" ca="1" si="78"/>
        <v>#REF!</v>
      </c>
      <c r="AD336" t="e">
        <f t="shared" ca="1" si="66"/>
        <v>#REF!</v>
      </c>
    </row>
    <row r="337" spans="1:30" x14ac:dyDescent="0.3">
      <c r="A337" s="150">
        <v>330</v>
      </c>
      <c r="B337" s="150" t="str">
        <f t="shared" si="71"/>
        <v>LR1</v>
      </c>
      <c r="D337" t="s">
        <v>416</v>
      </c>
      <c r="E337">
        <f t="shared" ca="1" si="72"/>
        <v>0</v>
      </c>
      <c r="F337" t="e">
        <f t="shared" ca="1" si="67"/>
        <v>#REF!</v>
      </c>
      <c r="G337" t="s">
        <v>417</v>
      </c>
      <c r="H337" t="s">
        <v>421</v>
      </c>
      <c r="I337" t="e">
        <f t="shared" ca="1" si="73"/>
        <v>#REF!</v>
      </c>
      <c r="J337" t="e">
        <f t="shared" ca="1" si="74"/>
        <v>#REF!</v>
      </c>
      <c r="K337" t="s">
        <v>431</v>
      </c>
      <c r="L337" s="150" t="s">
        <v>423</v>
      </c>
      <c r="M337" s="150" t="s">
        <v>435</v>
      </c>
      <c r="N337" t="e">
        <f t="shared" ca="1" si="75"/>
        <v>#REF!</v>
      </c>
      <c r="O337" s="150" t="s">
        <v>412</v>
      </c>
      <c r="P337" s="150" t="s">
        <v>428</v>
      </c>
      <c r="Q337" s="150" t="s">
        <v>399</v>
      </c>
      <c r="R337" t="e">
        <f t="shared" ca="1" si="76"/>
        <v>#REF!</v>
      </c>
      <c r="S337" t="s">
        <v>398</v>
      </c>
      <c r="T337" t="s">
        <v>448</v>
      </c>
      <c r="U337" t="str">
        <f t="shared" ca="1" si="68"/>
        <v>Sheets("Master Data").Range("0" &amp; RowNo).Value</v>
      </c>
      <c r="V337" t="e">
        <f t="shared" ca="1" si="77"/>
        <v>#REF!</v>
      </c>
      <c r="X337" t="e">
        <f t="shared" ca="1" si="69"/>
        <v>#REF!</v>
      </c>
      <c r="Z337" t="e">
        <f t="shared" ca="1" si="70"/>
        <v>#REF!</v>
      </c>
      <c r="AB337" t="e">
        <f t="shared" ca="1" si="78"/>
        <v>#REF!</v>
      </c>
      <c r="AD337" t="e">
        <f t="shared" ref="AD337:AD400" ca="1" si="79">CONCATENATE(U337,O337,V337)</f>
        <v>#REF!</v>
      </c>
    </row>
    <row r="338" spans="1:30" x14ac:dyDescent="0.3">
      <c r="A338" s="150">
        <v>331</v>
      </c>
      <c r="B338" s="150" t="str">
        <f t="shared" si="71"/>
        <v>LS1</v>
      </c>
      <c r="D338" t="s">
        <v>416</v>
      </c>
      <c r="E338">
        <f t="shared" ca="1" si="72"/>
        <v>0</v>
      </c>
      <c r="F338" t="e">
        <f t="shared" ca="1" si="67"/>
        <v>#REF!</v>
      </c>
      <c r="G338" t="s">
        <v>417</v>
      </c>
      <c r="H338" t="s">
        <v>421</v>
      </c>
      <c r="I338" t="e">
        <f t="shared" ca="1" si="73"/>
        <v>#REF!</v>
      </c>
      <c r="J338" t="e">
        <f t="shared" ca="1" si="74"/>
        <v>#REF!</v>
      </c>
      <c r="K338" t="s">
        <v>431</v>
      </c>
      <c r="L338" s="150" t="s">
        <v>423</v>
      </c>
      <c r="M338" s="150" t="s">
        <v>435</v>
      </c>
      <c r="N338" t="e">
        <f t="shared" ca="1" si="75"/>
        <v>#REF!</v>
      </c>
      <c r="O338" s="150" t="s">
        <v>412</v>
      </c>
      <c r="P338" s="150" t="s">
        <v>428</v>
      </c>
      <c r="Q338" s="150" t="s">
        <v>399</v>
      </c>
      <c r="R338" t="e">
        <f t="shared" ca="1" si="76"/>
        <v>#REF!</v>
      </c>
      <c r="S338" t="s">
        <v>398</v>
      </c>
      <c r="T338" t="s">
        <v>448</v>
      </c>
      <c r="U338" t="str">
        <f t="shared" ca="1" si="68"/>
        <v>Sheets("Master Data").Range("0" &amp; RowNo).Value</v>
      </c>
      <c r="V338" t="e">
        <f t="shared" ca="1" si="77"/>
        <v>#REF!</v>
      </c>
      <c r="X338" t="e">
        <f t="shared" ca="1" si="69"/>
        <v>#REF!</v>
      </c>
      <c r="Z338" t="e">
        <f t="shared" ca="1" si="70"/>
        <v>#REF!</v>
      </c>
      <c r="AB338" t="e">
        <f t="shared" ca="1" si="78"/>
        <v>#REF!</v>
      </c>
      <c r="AD338" t="e">
        <f t="shared" ca="1" si="79"/>
        <v>#REF!</v>
      </c>
    </row>
    <row r="339" spans="1:30" x14ac:dyDescent="0.3">
      <c r="A339" s="150">
        <v>332</v>
      </c>
      <c r="B339" s="150" t="str">
        <f t="shared" si="71"/>
        <v>LT1</v>
      </c>
      <c r="D339" t="s">
        <v>416</v>
      </c>
      <c r="E339">
        <f t="shared" ca="1" si="72"/>
        <v>0</v>
      </c>
      <c r="F339" t="e">
        <f t="shared" ca="1" si="67"/>
        <v>#REF!</v>
      </c>
      <c r="G339" t="s">
        <v>417</v>
      </c>
      <c r="H339" t="s">
        <v>421</v>
      </c>
      <c r="I339" t="e">
        <f t="shared" ca="1" si="73"/>
        <v>#REF!</v>
      </c>
      <c r="J339" t="e">
        <f t="shared" ca="1" si="74"/>
        <v>#REF!</v>
      </c>
      <c r="K339" t="s">
        <v>431</v>
      </c>
      <c r="L339" s="150" t="s">
        <v>423</v>
      </c>
      <c r="M339" s="150" t="s">
        <v>435</v>
      </c>
      <c r="N339" t="e">
        <f t="shared" ca="1" si="75"/>
        <v>#REF!</v>
      </c>
      <c r="O339" s="150" t="s">
        <v>412</v>
      </c>
      <c r="P339" s="150" t="s">
        <v>428</v>
      </c>
      <c r="Q339" s="150" t="s">
        <v>399</v>
      </c>
      <c r="R339" t="e">
        <f t="shared" ca="1" si="76"/>
        <v>#REF!</v>
      </c>
      <c r="S339" t="s">
        <v>398</v>
      </c>
      <c r="T339" t="s">
        <v>448</v>
      </c>
      <c r="U339" t="str">
        <f t="shared" ca="1" si="68"/>
        <v>Sheets("Master Data").Range("0" &amp; RowNo).Value</v>
      </c>
      <c r="V339" t="e">
        <f t="shared" ca="1" si="77"/>
        <v>#REF!</v>
      </c>
      <c r="X339" t="e">
        <f t="shared" ca="1" si="69"/>
        <v>#REF!</v>
      </c>
      <c r="Z339" t="e">
        <f t="shared" ca="1" si="70"/>
        <v>#REF!</v>
      </c>
      <c r="AB339" t="e">
        <f t="shared" ca="1" si="78"/>
        <v>#REF!</v>
      </c>
      <c r="AD339" t="e">
        <f t="shared" ca="1" si="79"/>
        <v>#REF!</v>
      </c>
    </row>
    <row r="340" spans="1:30" x14ac:dyDescent="0.3">
      <c r="A340" s="150">
        <v>333</v>
      </c>
      <c r="B340" s="150" t="str">
        <f t="shared" si="71"/>
        <v>LU1</v>
      </c>
      <c r="D340" t="s">
        <v>416</v>
      </c>
      <c r="E340">
        <f t="shared" ca="1" si="72"/>
        <v>0</v>
      </c>
      <c r="F340" t="e">
        <f t="shared" ref="F340:F403" ca="1" si="80">SUBSTITUTE(INDIRECT("'Master Data'!" &amp; E340 &amp; 4)," ","_")</f>
        <v>#REF!</v>
      </c>
      <c r="G340" t="s">
        <v>417</v>
      </c>
      <c r="H340" t="s">
        <v>421</v>
      </c>
      <c r="I340" t="e">
        <f t="shared" ca="1" si="73"/>
        <v>#REF!</v>
      </c>
      <c r="J340" t="e">
        <f t="shared" ca="1" si="74"/>
        <v>#REF!</v>
      </c>
      <c r="K340" t="s">
        <v>431</v>
      </c>
      <c r="L340" s="150" t="s">
        <v>423</v>
      </c>
      <c r="M340" s="150" t="s">
        <v>435</v>
      </c>
      <c r="N340" t="e">
        <f t="shared" ca="1" si="75"/>
        <v>#REF!</v>
      </c>
      <c r="O340" s="150" t="s">
        <v>412</v>
      </c>
      <c r="P340" s="150" t="s">
        <v>428</v>
      </c>
      <c r="Q340" s="150" t="s">
        <v>399</v>
      </c>
      <c r="R340" t="e">
        <f t="shared" ca="1" si="76"/>
        <v>#REF!</v>
      </c>
      <c r="S340" t="s">
        <v>398</v>
      </c>
      <c r="T340" t="s">
        <v>448</v>
      </c>
      <c r="U340" t="str">
        <f t="shared" ca="1" si="68"/>
        <v>Sheets("Master Data").Range("0" &amp; RowNo).Value</v>
      </c>
      <c r="V340" t="e">
        <f t="shared" ca="1" si="77"/>
        <v>#REF!</v>
      </c>
      <c r="X340" t="e">
        <f t="shared" ca="1" si="69"/>
        <v>#REF!</v>
      </c>
      <c r="Z340" t="e">
        <f t="shared" ca="1" si="70"/>
        <v>#REF!</v>
      </c>
      <c r="AB340" t="e">
        <f t="shared" ca="1" si="78"/>
        <v>#REF!</v>
      </c>
      <c r="AD340" t="e">
        <f t="shared" ca="1" si="79"/>
        <v>#REF!</v>
      </c>
    </row>
    <row r="341" spans="1:30" x14ac:dyDescent="0.3">
      <c r="A341" s="150">
        <v>334</v>
      </c>
      <c r="B341" s="150" t="str">
        <f t="shared" si="71"/>
        <v>LV1</v>
      </c>
      <c r="D341" t="s">
        <v>416</v>
      </c>
      <c r="E341">
        <f t="shared" ca="1" si="72"/>
        <v>0</v>
      </c>
      <c r="F341" t="e">
        <f t="shared" ca="1" si="80"/>
        <v>#REF!</v>
      </c>
      <c r="G341" t="s">
        <v>417</v>
      </c>
      <c r="H341" t="s">
        <v>421</v>
      </c>
      <c r="I341" t="e">
        <f t="shared" ca="1" si="73"/>
        <v>#REF!</v>
      </c>
      <c r="J341" t="e">
        <f t="shared" ca="1" si="74"/>
        <v>#REF!</v>
      </c>
      <c r="K341" t="s">
        <v>431</v>
      </c>
      <c r="L341" s="150" t="s">
        <v>423</v>
      </c>
      <c r="M341" s="150" t="s">
        <v>435</v>
      </c>
      <c r="N341" t="e">
        <f t="shared" ca="1" si="75"/>
        <v>#REF!</v>
      </c>
      <c r="O341" s="150" t="s">
        <v>412</v>
      </c>
      <c r="P341" s="150" t="s">
        <v>428</v>
      </c>
      <c r="Q341" s="150" t="s">
        <v>399</v>
      </c>
      <c r="R341" t="e">
        <f t="shared" ca="1" si="76"/>
        <v>#REF!</v>
      </c>
      <c r="S341" t="s">
        <v>398</v>
      </c>
      <c r="T341" t="s">
        <v>448</v>
      </c>
      <c r="U341" t="str">
        <f t="shared" ca="1" si="68"/>
        <v>Sheets("Master Data").Range("0" &amp; RowNo).Value</v>
      </c>
      <c r="V341" t="e">
        <f t="shared" ca="1" si="77"/>
        <v>#REF!</v>
      </c>
      <c r="X341" t="e">
        <f t="shared" ca="1" si="69"/>
        <v>#REF!</v>
      </c>
      <c r="Z341" t="e">
        <f t="shared" ca="1" si="70"/>
        <v>#REF!</v>
      </c>
      <c r="AB341" t="e">
        <f t="shared" ca="1" si="78"/>
        <v>#REF!</v>
      </c>
      <c r="AD341" t="e">
        <f t="shared" ca="1" si="79"/>
        <v>#REF!</v>
      </c>
    </row>
    <row r="342" spans="1:30" x14ac:dyDescent="0.3">
      <c r="A342" s="150">
        <v>335</v>
      </c>
      <c r="B342" s="150" t="str">
        <f t="shared" si="71"/>
        <v>LW1</v>
      </c>
      <c r="D342" t="s">
        <v>416</v>
      </c>
      <c r="E342">
        <f t="shared" ca="1" si="72"/>
        <v>0</v>
      </c>
      <c r="F342" t="e">
        <f t="shared" ca="1" si="80"/>
        <v>#REF!</v>
      </c>
      <c r="G342" t="s">
        <v>417</v>
      </c>
      <c r="H342" t="s">
        <v>421</v>
      </c>
      <c r="I342" t="e">
        <f t="shared" ca="1" si="73"/>
        <v>#REF!</v>
      </c>
      <c r="J342" t="e">
        <f t="shared" ca="1" si="74"/>
        <v>#REF!</v>
      </c>
      <c r="K342" t="s">
        <v>431</v>
      </c>
      <c r="L342" s="150" t="s">
        <v>423</v>
      </c>
      <c r="M342" s="150" t="s">
        <v>435</v>
      </c>
      <c r="N342" t="e">
        <f t="shared" ca="1" si="75"/>
        <v>#REF!</v>
      </c>
      <c r="O342" s="150" t="s">
        <v>412</v>
      </c>
      <c r="P342" s="150" t="s">
        <v>428</v>
      </c>
      <c r="Q342" s="150" t="s">
        <v>399</v>
      </c>
      <c r="R342" t="e">
        <f t="shared" ca="1" si="76"/>
        <v>#REF!</v>
      </c>
      <c r="S342" t="s">
        <v>398</v>
      </c>
      <c r="T342" t="s">
        <v>448</v>
      </c>
      <c r="U342" t="str">
        <f t="shared" ca="1" si="68"/>
        <v>Sheets("Master Data").Range("0" &amp; RowNo).Value</v>
      </c>
      <c r="V342" t="e">
        <f t="shared" ca="1" si="77"/>
        <v>#REF!</v>
      </c>
      <c r="X342" t="e">
        <f t="shared" ca="1" si="69"/>
        <v>#REF!</v>
      </c>
      <c r="Z342" t="e">
        <f t="shared" ca="1" si="70"/>
        <v>#REF!</v>
      </c>
      <c r="AB342" t="e">
        <f t="shared" ca="1" si="78"/>
        <v>#REF!</v>
      </c>
      <c r="AD342" t="e">
        <f t="shared" ca="1" si="79"/>
        <v>#REF!</v>
      </c>
    </row>
    <row r="343" spans="1:30" x14ac:dyDescent="0.3">
      <c r="A343" s="150">
        <v>336</v>
      </c>
      <c r="B343" s="150" t="str">
        <f t="shared" si="71"/>
        <v>LX1</v>
      </c>
      <c r="D343" t="s">
        <v>416</v>
      </c>
      <c r="E343">
        <f t="shared" ca="1" si="72"/>
        <v>0</v>
      </c>
      <c r="F343" t="e">
        <f t="shared" ca="1" si="80"/>
        <v>#REF!</v>
      </c>
      <c r="G343" t="s">
        <v>417</v>
      </c>
      <c r="H343" t="s">
        <v>421</v>
      </c>
      <c r="I343" t="e">
        <f t="shared" ca="1" si="73"/>
        <v>#REF!</v>
      </c>
      <c r="J343" t="e">
        <f t="shared" ca="1" si="74"/>
        <v>#REF!</v>
      </c>
      <c r="K343" t="s">
        <v>431</v>
      </c>
      <c r="L343" s="150" t="s">
        <v>423</v>
      </c>
      <c r="M343" s="150" t="s">
        <v>435</v>
      </c>
      <c r="N343" t="e">
        <f t="shared" ca="1" si="75"/>
        <v>#REF!</v>
      </c>
      <c r="O343" s="150" t="s">
        <v>412</v>
      </c>
      <c r="P343" s="150" t="s">
        <v>428</v>
      </c>
      <c r="Q343" s="150" t="s">
        <v>399</v>
      </c>
      <c r="R343" t="e">
        <f t="shared" ca="1" si="76"/>
        <v>#REF!</v>
      </c>
      <c r="S343" t="s">
        <v>398</v>
      </c>
      <c r="T343" t="s">
        <v>448</v>
      </c>
      <c r="U343" t="str">
        <f t="shared" ca="1" si="68"/>
        <v>Sheets("Master Data").Range("0" &amp; RowNo).Value</v>
      </c>
      <c r="V343" t="e">
        <f t="shared" ca="1" si="77"/>
        <v>#REF!</v>
      </c>
      <c r="X343" t="e">
        <f t="shared" ca="1" si="69"/>
        <v>#REF!</v>
      </c>
      <c r="Z343" t="e">
        <f t="shared" ca="1" si="70"/>
        <v>#REF!</v>
      </c>
      <c r="AB343" t="e">
        <f t="shared" ca="1" si="78"/>
        <v>#REF!</v>
      </c>
      <c r="AD343" t="e">
        <f t="shared" ca="1" si="79"/>
        <v>#REF!</v>
      </c>
    </row>
    <row r="344" spans="1:30" x14ac:dyDescent="0.3">
      <c r="A344" s="150">
        <v>337</v>
      </c>
      <c r="B344" s="150" t="str">
        <f t="shared" si="71"/>
        <v>LY1</v>
      </c>
      <c r="D344" t="s">
        <v>416</v>
      </c>
      <c r="E344">
        <f t="shared" ca="1" si="72"/>
        <v>0</v>
      </c>
      <c r="F344" t="e">
        <f t="shared" ca="1" si="80"/>
        <v>#REF!</v>
      </c>
      <c r="G344" t="s">
        <v>417</v>
      </c>
      <c r="H344" t="s">
        <v>421</v>
      </c>
      <c r="I344" t="e">
        <f t="shared" ca="1" si="73"/>
        <v>#REF!</v>
      </c>
      <c r="J344" t="e">
        <f t="shared" ca="1" si="74"/>
        <v>#REF!</v>
      </c>
      <c r="K344" t="s">
        <v>431</v>
      </c>
      <c r="L344" s="150" t="s">
        <v>423</v>
      </c>
      <c r="M344" s="150" t="s">
        <v>435</v>
      </c>
      <c r="N344" t="e">
        <f t="shared" ca="1" si="75"/>
        <v>#REF!</v>
      </c>
      <c r="O344" s="150" t="s">
        <v>412</v>
      </c>
      <c r="P344" s="150" t="s">
        <v>428</v>
      </c>
      <c r="Q344" s="150" t="s">
        <v>399</v>
      </c>
      <c r="R344" t="e">
        <f t="shared" ca="1" si="76"/>
        <v>#REF!</v>
      </c>
      <c r="S344" t="s">
        <v>398</v>
      </c>
      <c r="T344" t="s">
        <v>448</v>
      </c>
      <c r="U344" t="str">
        <f t="shared" ca="1" si="68"/>
        <v>Sheets("Master Data").Range("0" &amp; RowNo).Value</v>
      </c>
      <c r="V344" t="e">
        <f t="shared" ca="1" si="77"/>
        <v>#REF!</v>
      </c>
      <c r="X344" t="e">
        <f t="shared" ca="1" si="69"/>
        <v>#REF!</v>
      </c>
      <c r="Z344" t="e">
        <f t="shared" ca="1" si="70"/>
        <v>#REF!</v>
      </c>
      <c r="AB344" t="e">
        <f t="shared" ca="1" si="78"/>
        <v>#REF!</v>
      </c>
      <c r="AD344" t="e">
        <f t="shared" ca="1" si="79"/>
        <v>#REF!</v>
      </c>
    </row>
    <row r="345" spans="1:30" x14ac:dyDescent="0.3">
      <c r="A345" s="150">
        <v>338</v>
      </c>
      <c r="B345" s="150" t="str">
        <f t="shared" si="71"/>
        <v>LZ1</v>
      </c>
      <c r="D345" t="s">
        <v>416</v>
      </c>
      <c r="E345">
        <f t="shared" ca="1" si="72"/>
        <v>0</v>
      </c>
      <c r="F345" t="e">
        <f t="shared" ca="1" si="80"/>
        <v>#REF!</v>
      </c>
      <c r="G345" t="s">
        <v>417</v>
      </c>
      <c r="H345" t="s">
        <v>421</v>
      </c>
      <c r="I345" t="e">
        <f t="shared" ca="1" si="73"/>
        <v>#REF!</v>
      </c>
      <c r="J345" t="e">
        <f t="shared" ca="1" si="74"/>
        <v>#REF!</v>
      </c>
      <c r="K345" t="s">
        <v>431</v>
      </c>
      <c r="L345" s="150" t="s">
        <v>423</v>
      </c>
      <c r="M345" s="150" t="s">
        <v>435</v>
      </c>
      <c r="N345" t="e">
        <f t="shared" ca="1" si="75"/>
        <v>#REF!</v>
      </c>
      <c r="O345" s="150" t="s">
        <v>412</v>
      </c>
      <c r="P345" s="150" t="s">
        <v>428</v>
      </c>
      <c r="Q345" s="150" t="s">
        <v>399</v>
      </c>
      <c r="R345" t="e">
        <f t="shared" ca="1" si="76"/>
        <v>#REF!</v>
      </c>
      <c r="S345" t="s">
        <v>398</v>
      </c>
      <c r="T345" t="s">
        <v>448</v>
      </c>
      <c r="U345" t="str">
        <f t="shared" ca="1" si="68"/>
        <v>Sheets("Master Data").Range("0" &amp; RowNo).Value</v>
      </c>
      <c r="V345" t="e">
        <f t="shared" ca="1" si="77"/>
        <v>#REF!</v>
      </c>
      <c r="X345" t="e">
        <f t="shared" ca="1" si="69"/>
        <v>#REF!</v>
      </c>
      <c r="Z345" t="e">
        <f t="shared" ca="1" si="70"/>
        <v>#REF!</v>
      </c>
      <c r="AB345" t="e">
        <f t="shared" ca="1" si="78"/>
        <v>#REF!</v>
      </c>
      <c r="AD345" t="e">
        <f t="shared" ca="1" si="79"/>
        <v>#REF!</v>
      </c>
    </row>
    <row r="346" spans="1:30" x14ac:dyDescent="0.3">
      <c r="A346" s="150">
        <v>339</v>
      </c>
      <c r="B346" s="150" t="str">
        <f t="shared" si="71"/>
        <v>MA1</v>
      </c>
      <c r="D346" t="s">
        <v>416</v>
      </c>
      <c r="E346">
        <f t="shared" ca="1" si="72"/>
        <v>0</v>
      </c>
      <c r="F346" t="e">
        <f t="shared" ca="1" si="80"/>
        <v>#REF!</v>
      </c>
      <c r="G346" t="s">
        <v>417</v>
      </c>
      <c r="H346" t="s">
        <v>421</v>
      </c>
      <c r="I346" t="e">
        <f t="shared" ca="1" si="73"/>
        <v>#REF!</v>
      </c>
      <c r="J346" t="e">
        <f t="shared" ca="1" si="74"/>
        <v>#REF!</v>
      </c>
      <c r="K346" t="s">
        <v>431</v>
      </c>
      <c r="L346" s="150" t="s">
        <v>423</v>
      </c>
      <c r="M346" s="150" t="s">
        <v>435</v>
      </c>
      <c r="N346" t="e">
        <f t="shared" ca="1" si="75"/>
        <v>#REF!</v>
      </c>
      <c r="O346" s="150" t="s">
        <v>412</v>
      </c>
      <c r="P346" s="150" t="s">
        <v>428</v>
      </c>
      <c r="Q346" s="150" t="s">
        <v>399</v>
      </c>
      <c r="R346" t="e">
        <f t="shared" ca="1" si="76"/>
        <v>#REF!</v>
      </c>
      <c r="S346" t="s">
        <v>398</v>
      </c>
      <c r="T346" t="s">
        <v>448</v>
      </c>
      <c r="U346" t="str">
        <f t="shared" ca="1" si="68"/>
        <v>Sheets("Master Data").Range("0" &amp; RowNo).Value</v>
      </c>
      <c r="V346" t="e">
        <f t="shared" ca="1" si="77"/>
        <v>#REF!</v>
      </c>
      <c r="X346" t="e">
        <f t="shared" ca="1" si="69"/>
        <v>#REF!</v>
      </c>
      <c r="Z346" t="e">
        <f t="shared" ca="1" si="70"/>
        <v>#REF!</v>
      </c>
      <c r="AB346" t="e">
        <f t="shared" ca="1" si="78"/>
        <v>#REF!</v>
      </c>
      <c r="AD346" t="e">
        <f t="shared" ca="1" si="79"/>
        <v>#REF!</v>
      </c>
    </row>
    <row r="347" spans="1:30" x14ac:dyDescent="0.3">
      <c r="A347" s="150">
        <v>340</v>
      </c>
      <c r="B347" s="150" t="str">
        <f t="shared" si="71"/>
        <v>MB1</v>
      </c>
      <c r="D347" t="s">
        <v>416</v>
      </c>
      <c r="E347">
        <f t="shared" ca="1" si="72"/>
        <v>0</v>
      </c>
      <c r="F347" t="e">
        <f t="shared" ca="1" si="80"/>
        <v>#REF!</v>
      </c>
      <c r="G347" t="s">
        <v>417</v>
      </c>
      <c r="H347" t="s">
        <v>421</v>
      </c>
      <c r="I347" t="e">
        <f t="shared" ca="1" si="73"/>
        <v>#REF!</v>
      </c>
      <c r="J347" t="e">
        <f t="shared" ca="1" si="74"/>
        <v>#REF!</v>
      </c>
      <c r="K347" t="s">
        <v>431</v>
      </c>
      <c r="L347" s="150" t="s">
        <v>423</v>
      </c>
      <c r="M347" s="150" t="s">
        <v>435</v>
      </c>
      <c r="N347" t="e">
        <f t="shared" ca="1" si="75"/>
        <v>#REF!</v>
      </c>
      <c r="O347" s="150" t="s">
        <v>412</v>
      </c>
      <c r="P347" s="150" t="s">
        <v>428</v>
      </c>
      <c r="Q347" s="150" t="s">
        <v>399</v>
      </c>
      <c r="R347" t="e">
        <f t="shared" ca="1" si="76"/>
        <v>#REF!</v>
      </c>
      <c r="S347" t="s">
        <v>398</v>
      </c>
      <c r="T347" t="s">
        <v>448</v>
      </c>
      <c r="U347" t="str">
        <f t="shared" ca="1" si="68"/>
        <v>Sheets("Master Data").Range("0" &amp; RowNo).Value</v>
      </c>
      <c r="V347" t="e">
        <f t="shared" ca="1" si="77"/>
        <v>#REF!</v>
      </c>
      <c r="X347" t="e">
        <f t="shared" ca="1" si="69"/>
        <v>#REF!</v>
      </c>
      <c r="Z347" t="e">
        <f t="shared" ca="1" si="70"/>
        <v>#REF!</v>
      </c>
      <c r="AB347" t="e">
        <f t="shared" ca="1" si="78"/>
        <v>#REF!</v>
      </c>
      <c r="AD347" t="e">
        <f t="shared" ca="1" si="79"/>
        <v>#REF!</v>
      </c>
    </row>
    <row r="348" spans="1:30" x14ac:dyDescent="0.3">
      <c r="A348" s="150">
        <v>341</v>
      </c>
      <c r="B348" s="150" t="str">
        <f t="shared" si="71"/>
        <v>MC1</v>
      </c>
      <c r="D348" t="s">
        <v>416</v>
      </c>
      <c r="E348">
        <f t="shared" ca="1" si="72"/>
        <v>0</v>
      </c>
      <c r="F348" t="e">
        <f t="shared" ca="1" si="80"/>
        <v>#REF!</v>
      </c>
      <c r="G348" t="s">
        <v>417</v>
      </c>
      <c r="H348" t="s">
        <v>421</v>
      </c>
      <c r="I348" t="e">
        <f t="shared" ca="1" si="73"/>
        <v>#REF!</v>
      </c>
      <c r="J348" t="e">
        <f t="shared" ca="1" si="74"/>
        <v>#REF!</v>
      </c>
      <c r="K348" t="s">
        <v>431</v>
      </c>
      <c r="L348" s="150" t="s">
        <v>423</v>
      </c>
      <c r="M348" s="150" t="s">
        <v>435</v>
      </c>
      <c r="N348" t="e">
        <f t="shared" ca="1" si="75"/>
        <v>#REF!</v>
      </c>
      <c r="O348" s="150" t="s">
        <v>412</v>
      </c>
      <c r="P348" s="150" t="s">
        <v>428</v>
      </c>
      <c r="Q348" s="150" t="s">
        <v>399</v>
      </c>
      <c r="R348" t="e">
        <f t="shared" ca="1" si="76"/>
        <v>#REF!</v>
      </c>
      <c r="S348" t="s">
        <v>398</v>
      </c>
      <c r="T348" t="s">
        <v>448</v>
      </c>
      <c r="U348" t="str">
        <f t="shared" ca="1" si="68"/>
        <v>Sheets("Master Data").Range("0" &amp; RowNo).Value</v>
      </c>
      <c r="V348" t="e">
        <f t="shared" ca="1" si="77"/>
        <v>#REF!</v>
      </c>
      <c r="X348" t="e">
        <f t="shared" ca="1" si="69"/>
        <v>#REF!</v>
      </c>
      <c r="Z348" t="e">
        <f t="shared" ca="1" si="70"/>
        <v>#REF!</v>
      </c>
      <c r="AB348" t="e">
        <f t="shared" ca="1" si="78"/>
        <v>#REF!</v>
      </c>
      <c r="AD348" t="e">
        <f t="shared" ca="1" si="79"/>
        <v>#REF!</v>
      </c>
    </row>
    <row r="349" spans="1:30" x14ac:dyDescent="0.3">
      <c r="A349" s="150">
        <v>342</v>
      </c>
      <c r="B349" s="150" t="str">
        <f t="shared" si="71"/>
        <v>MD1</v>
      </c>
      <c r="D349" t="s">
        <v>416</v>
      </c>
      <c r="E349">
        <f t="shared" ca="1" si="72"/>
        <v>0</v>
      </c>
      <c r="F349" t="e">
        <f t="shared" ca="1" si="80"/>
        <v>#REF!</v>
      </c>
      <c r="G349" t="s">
        <v>417</v>
      </c>
      <c r="H349" t="s">
        <v>421</v>
      </c>
      <c r="I349" t="e">
        <f t="shared" ca="1" si="73"/>
        <v>#REF!</v>
      </c>
      <c r="J349" t="e">
        <f t="shared" ca="1" si="74"/>
        <v>#REF!</v>
      </c>
      <c r="K349" t="s">
        <v>431</v>
      </c>
      <c r="L349" s="150" t="s">
        <v>423</v>
      </c>
      <c r="M349" s="150" t="s">
        <v>435</v>
      </c>
      <c r="N349" t="e">
        <f t="shared" ca="1" si="75"/>
        <v>#REF!</v>
      </c>
      <c r="O349" s="150" t="s">
        <v>412</v>
      </c>
      <c r="P349" s="150" t="s">
        <v>428</v>
      </c>
      <c r="Q349" s="150" t="s">
        <v>399</v>
      </c>
      <c r="R349" t="e">
        <f t="shared" ca="1" si="76"/>
        <v>#REF!</v>
      </c>
      <c r="S349" t="s">
        <v>398</v>
      </c>
      <c r="T349" t="s">
        <v>448</v>
      </c>
      <c r="U349" t="str">
        <f t="shared" ca="1" si="68"/>
        <v>Sheets("Master Data").Range("0" &amp; RowNo).Value</v>
      </c>
      <c r="V349" t="e">
        <f t="shared" ca="1" si="77"/>
        <v>#REF!</v>
      </c>
      <c r="X349" t="e">
        <f t="shared" ca="1" si="69"/>
        <v>#REF!</v>
      </c>
      <c r="Z349" t="e">
        <f t="shared" ca="1" si="70"/>
        <v>#REF!</v>
      </c>
      <c r="AB349" t="e">
        <f t="shared" ca="1" si="78"/>
        <v>#REF!</v>
      </c>
      <c r="AD349" t="e">
        <f t="shared" ca="1" si="79"/>
        <v>#REF!</v>
      </c>
    </row>
    <row r="350" spans="1:30" x14ac:dyDescent="0.3">
      <c r="A350" s="150">
        <v>343</v>
      </c>
      <c r="B350" s="150" t="str">
        <f t="shared" si="71"/>
        <v>ME1</v>
      </c>
      <c r="D350" t="s">
        <v>416</v>
      </c>
      <c r="E350">
        <f t="shared" ca="1" si="72"/>
        <v>0</v>
      </c>
      <c r="F350" t="e">
        <f t="shared" ca="1" si="80"/>
        <v>#REF!</v>
      </c>
      <c r="G350" t="s">
        <v>417</v>
      </c>
      <c r="H350" t="s">
        <v>421</v>
      </c>
      <c r="I350" t="e">
        <f t="shared" ca="1" si="73"/>
        <v>#REF!</v>
      </c>
      <c r="J350" t="e">
        <f t="shared" ca="1" si="74"/>
        <v>#REF!</v>
      </c>
      <c r="K350" t="s">
        <v>431</v>
      </c>
      <c r="L350" s="150" t="s">
        <v>423</v>
      </c>
      <c r="M350" s="150" t="s">
        <v>435</v>
      </c>
      <c r="N350" t="e">
        <f t="shared" ca="1" si="75"/>
        <v>#REF!</v>
      </c>
      <c r="O350" s="150" t="s">
        <v>412</v>
      </c>
      <c r="P350" s="150" t="s">
        <v>428</v>
      </c>
      <c r="Q350" s="150" t="s">
        <v>399</v>
      </c>
      <c r="R350" t="e">
        <f t="shared" ca="1" si="76"/>
        <v>#REF!</v>
      </c>
      <c r="S350" t="s">
        <v>398</v>
      </c>
      <c r="T350" t="s">
        <v>448</v>
      </c>
      <c r="U350" t="str">
        <f t="shared" ca="1" si="68"/>
        <v>Sheets("Master Data").Range("0" &amp; RowNo).Value</v>
      </c>
      <c r="V350" t="e">
        <f t="shared" ca="1" si="77"/>
        <v>#REF!</v>
      </c>
      <c r="X350" t="e">
        <f t="shared" ca="1" si="69"/>
        <v>#REF!</v>
      </c>
      <c r="Z350" t="e">
        <f t="shared" ca="1" si="70"/>
        <v>#REF!</v>
      </c>
      <c r="AB350" t="e">
        <f t="shared" ca="1" si="78"/>
        <v>#REF!</v>
      </c>
      <c r="AD350" t="e">
        <f t="shared" ca="1" si="79"/>
        <v>#REF!</v>
      </c>
    </row>
    <row r="351" spans="1:30" x14ac:dyDescent="0.3">
      <c r="A351" s="150">
        <v>344</v>
      </c>
      <c r="B351" s="150" t="str">
        <f t="shared" si="71"/>
        <v>MF1</v>
      </c>
      <c r="D351" t="s">
        <v>416</v>
      </c>
      <c r="E351">
        <f t="shared" ca="1" si="72"/>
        <v>0</v>
      </c>
      <c r="F351" t="e">
        <f t="shared" ca="1" si="80"/>
        <v>#REF!</v>
      </c>
      <c r="G351" t="s">
        <v>417</v>
      </c>
      <c r="H351" t="s">
        <v>421</v>
      </c>
      <c r="I351" t="e">
        <f t="shared" ca="1" si="73"/>
        <v>#REF!</v>
      </c>
      <c r="J351" t="e">
        <f t="shared" ca="1" si="74"/>
        <v>#REF!</v>
      </c>
      <c r="K351" t="s">
        <v>431</v>
      </c>
      <c r="L351" s="150" t="s">
        <v>423</v>
      </c>
      <c r="M351" s="150" t="s">
        <v>435</v>
      </c>
      <c r="N351" t="e">
        <f t="shared" ca="1" si="75"/>
        <v>#REF!</v>
      </c>
      <c r="O351" s="150" t="s">
        <v>412</v>
      </c>
      <c r="P351" s="150" t="s">
        <v>428</v>
      </c>
      <c r="Q351" s="150" t="s">
        <v>399</v>
      </c>
      <c r="R351" t="e">
        <f t="shared" ca="1" si="76"/>
        <v>#REF!</v>
      </c>
      <c r="S351" t="s">
        <v>398</v>
      </c>
      <c r="T351" t="s">
        <v>448</v>
      </c>
      <c r="U351" t="str">
        <f t="shared" ca="1" si="68"/>
        <v>Sheets("Master Data").Range("0" &amp; RowNo).Value</v>
      </c>
      <c r="V351" t="e">
        <f t="shared" ca="1" si="77"/>
        <v>#REF!</v>
      </c>
      <c r="X351" t="e">
        <f t="shared" ca="1" si="69"/>
        <v>#REF!</v>
      </c>
      <c r="Z351" t="e">
        <f t="shared" ca="1" si="70"/>
        <v>#REF!</v>
      </c>
      <c r="AB351" t="e">
        <f t="shared" ca="1" si="78"/>
        <v>#REF!</v>
      </c>
      <c r="AD351" t="e">
        <f t="shared" ca="1" si="79"/>
        <v>#REF!</v>
      </c>
    </row>
    <row r="352" spans="1:30" x14ac:dyDescent="0.3">
      <c r="A352" s="150">
        <v>345</v>
      </c>
      <c r="B352" s="150" t="str">
        <f t="shared" si="71"/>
        <v>MG1</v>
      </c>
      <c r="D352" t="s">
        <v>416</v>
      </c>
      <c r="E352">
        <f t="shared" ca="1" si="72"/>
        <v>0</v>
      </c>
      <c r="F352" t="e">
        <f t="shared" ca="1" si="80"/>
        <v>#REF!</v>
      </c>
      <c r="G352" t="s">
        <v>417</v>
      </c>
      <c r="H352" t="s">
        <v>421</v>
      </c>
      <c r="I352" t="e">
        <f t="shared" ca="1" si="73"/>
        <v>#REF!</v>
      </c>
      <c r="J352" t="e">
        <f t="shared" ca="1" si="74"/>
        <v>#REF!</v>
      </c>
      <c r="K352" t="s">
        <v>431</v>
      </c>
      <c r="L352" s="150" t="s">
        <v>423</v>
      </c>
      <c r="M352" s="150" t="s">
        <v>435</v>
      </c>
      <c r="N352" t="e">
        <f t="shared" ca="1" si="75"/>
        <v>#REF!</v>
      </c>
      <c r="O352" s="150" t="s">
        <v>412</v>
      </c>
      <c r="P352" s="150" t="s">
        <v>428</v>
      </c>
      <c r="Q352" s="150" t="s">
        <v>399</v>
      </c>
      <c r="R352" t="e">
        <f t="shared" ca="1" si="76"/>
        <v>#REF!</v>
      </c>
      <c r="S352" t="s">
        <v>398</v>
      </c>
      <c r="T352" t="s">
        <v>448</v>
      </c>
      <c r="U352" t="str">
        <f t="shared" ca="1" si="68"/>
        <v>Sheets("Master Data").Range("0" &amp; RowNo).Value</v>
      </c>
      <c r="V352" t="e">
        <f t="shared" ca="1" si="77"/>
        <v>#REF!</v>
      </c>
      <c r="X352" t="e">
        <f t="shared" ca="1" si="69"/>
        <v>#REF!</v>
      </c>
      <c r="Z352" t="e">
        <f t="shared" ca="1" si="70"/>
        <v>#REF!</v>
      </c>
      <c r="AB352" t="e">
        <f t="shared" ca="1" si="78"/>
        <v>#REF!</v>
      </c>
      <c r="AD352" t="e">
        <f t="shared" ca="1" si="79"/>
        <v>#REF!</v>
      </c>
    </row>
    <row r="353" spans="1:30" x14ac:dyDescent="0.3">
      <c r="A353" s="150">
        <v>346</v>
      </c>
      <c r="B353" s="150" t="str">
        <f t="shared" si="71"/>
        <v>MH1</v>
      </c>
      <c r="D353" t="s">
        <v>416</v>
      </c>
      <c r="E353">
        <f t="shared" ca="1" si="72"/>
        <v>0</v>
      </c>
      <c r="F353" t="e">
        <f t="shared" ca="1" si="80"/>
        <v>#REF!</v>
      </c>
      <c r="G353" t="s">
        <v>417</v>
      </c>
      <c r="H353" t="s">
        <v>421</v>
      </c>
      <c r="I353" t="e">
        <f t="shared" ca="1" si="73"/>
        <v>#REF!</v>
      </c>
      <c r="J353" t="e">
        <f t="shared" ca="1" si="74"/>
        <v>#REF!</v>
      </c>
      <c r="K353" t="s">
        <v>431</v>
      </c>
      <c r="L353" s="150" t="s">
        <v>423</v>
      </c>
      <c r="M353" s="150" t="s">
        <v>435</v>
      </c>
      <c r="N353" t="e">
        <f t="shared" ca="1" si="75"/>
        <v>#REF!</v>
      </c>
      <c r="O353" s="150" t="s">
        <v>412</v>
      </c>
      <c r="P353" s="150" t="s">
        <v>428</v>
      </c>
      <c r="Q353" s="150" t="s">
        <v>399</v>
      </c>
      <c r="R353" t="e">
        <f t="shared" ca="1" si="76"/>
        <v>#REF!</v>
      </c>
      <c r="S353" t="s">
        <v>398</v>
      </c>
      <c r="T353" t="s">
        <v>448</v>
      </c>
      <c r="U353" t="str">
        <f t="shared" ca="1" si="68"/>
        <v>Sheets("Master Data").Range("0" &amp; RowNo).Value</v>
      </c>
      <c r="V353" t="e">
        <f t="shared" ca="1" si="77"/>
        <v>#REF!</v>
      </c>
      <c r="X353" t="e">
        <f t="shared" ca="1" si="69"/>
        <v>#REF!</v>
      </c>
      <c r="Z353" t="e">
        <f t="shared" ca="1" si="70"/>
        <v>#REF!</v>
      </c>
      <c r="AB353" t="e">
        <f t="shared" ca="1" si="78"/>
        <v>#REF!</v>
      </c>
      <c r="AD353" t="e">
        <f t="shared" ca="1" si="79"/>
        <v>#REF!</v>
      </c>
    </row>
    <row r="354" spans="1:30" x14ac:dyDescent="0.3">
      <c r="A354" s="150">
        <v>347</v>
      </c>
      <c r="B354" s="150" t="str">
        <f t="shared" si="71"/>
        <v>MI1</v>
      </c>
      <c r="D354" t="s">
        <v>416</v>
      </c>
      <c r="E354">
        <f t="shared" ca="1" si="72"/>
        <v>0</v>
      </c>
      <c r="F354" t="e">
        <f t="shared" ca="1" si="80"/>
        <v>#REF!</v>
      </c>
      <c r="G354" t="s">
        <v>417</v>
      </c>
      <c r="H354" t="s">
        <v>421</v>
      </c>
      <c r="I354" t="e">
        <f t="shared" ca="1" si="73"/>
        <v>#REF!</v>
      </c>
      <c r="J354" t="e">
        <f t="shared" ca="1" si="74"/>
        <v>#REF!</v>
      </c>
      <c r="K354" t="s">
        <v>431</v>
      </c>
      <c r="L354" s="150" t="s">
        <v>423</v>
      </c>
      <c r="M354" s="150" t="s">
        <v>435</v>
      </c>
      <c r="N354" t="e">
        <f t="shared" ca="1" si="75"/>
        <v>#REF!</v>
      </c>
      <c r="O354" s="150" t="s">
        <v>412</v>
      </c>
      <c r="P354" s="150" t="s">
        <v>428</v>
      </c>
      <c r="Q354" s="150" t="s">
        <v>399</v>
      </c>
      <c r="R354" t="e">
        <f t="shared" ca="1" si="76"/>
        <v>#REF!</v>
      </c>
      <c r="S354" t="s">
        <v>398</v>
      </c>
      <c r="T354" t="s">
        <v>448</v>
      </c>
      <c r="U354" t="str">
        <f t="shared" ca="1" si="68"/>
        <v>Sheets("Master Data").Range("0" &amp; RowNo).Value</v>
      </c>
      <c r="V354" t="e">
        <f t="shared" ca="1" si="77"/>
        <v>#REF!</v>
      </c>
      <c r="X354" t="e">
        <f t="shared" ca="1" si="69"/>
        <v>#REF!</v>
      </c>
      <c r="Z354" t="e">
        <f t="shared" ca="1" si="70"/>
        <v>#REF!</v>
      </c>
      <c r="AB354" t="e">
        <f t="shared" ca="1" si="78"/>
        <v>#REF!</v>
      </c>
      <c r="AD354" t="e">
        <f t="shared" ca="1" si="79"/>
        <v>#REF!</v>
      </c>
    </row>
    <row r="355" spans="1:30" x14ac:dyDescent="0.3">
      <c r="A355" s="150">
        <v>348</v>
      </c>
      <c r="B355" s="150" t="str">
        <f t="shared" si="71"/>
        <v>MJ1</v>
      </c>
      <c r="D355" t="s">
        <v>416</v>
      </c>
      <c r="E355">
        <f t="shared" ca="1" si="72"/>
        <v>0</v>
      </c>
      <c r="F355" t="e">
        <f t="shared" ca="1" si="80"/>
        <v>#REF!</v>
      </c>
      <c r="G355" t="s">
        <v>417</v>
      </c>
      <c r="H355" t="s">
        <v>421</v>
      </c>
      <c r="I355" t="e">
        <f t="shared" ca="1" si="73"/>
        <v>#REF!</v>
      </c>
      <c r="J355" t="e">
        <f t="shared" ca="1" si="74"/>
        <v>#REF!</v>
      </c>
      <c r="K355" t="s">
        <v>431</v>
      </c>
      <c r="L355" s="150" t="s">
        <v>423</v>
      </c>
      <c r="M355" s="150" t="s">
        <v>435</v>
      </c>
      <c r="N355" t="e">
        <f t="shared" ca="1" si="75"/>
        <v>#REF!</v>
      </c>
      <c r="O355" s="150" t="s">
        <v>412</v>
      </c>
      <c r="P355" s="150" t="s">
        <v>428</v>
      </c>
      <c r="Q355" s="150" t="s">
        <v>399</v>
      </c>
      <c r="R355" t="e">
        <f t="shared" ca="1" si="76"/>
        <v>#REF!</v>
      </c>
      <c r="S355" t="s">
        <v>398</v>
      </c>
      <c r="T355" t="s">
        <v>448</v>
      </c>
      <c r="U355" t="str">
        <f t="shared" ca="1" si="68"/>
        <v>Sheets("Master Data").Range("0" &amp; RowNo).Value</v>
      </c>
      <c r="V355" t="e">
        <f t="shared" ca="1" si="77"/>
        <v>#REF!</v>
      </c>
      <c r="X355" t="e">
        <f t="shared" ca="1" si="69"/>
        <v>#REF!</v>
      </c>
      <c r="Z355" t="e">
        <f t="shared" ca="1" si="70"/>
        <v>#REF!</v>
      </c>
      <c r="AB355" t="e">
        <f t="shared" ca="1" si="78"/>
        <v>#REF!</v>
      </c>
      <c r="AD355" t="e">
        <f t="shared" ca="1" si="79"/>
        <v>#REF!</v>
      </c>
    </row>
    <row r="356" spans="1:30" x14ac:dyDescent="0.3">
      <c r="A356" s="150">
        <v>349</v>
      </c>
      <c r="B356" s="150" t="str">
        <f t="shared" si="71"/>
        <v>MK1</v>
      </c>
      <c r="D356" t="s">
        <v>416</v>
      </c>
      <c r="E356">
        <f t="shared" ca="1" si="72"/>
        <v>0</v>
      </c>
      <c r="F356" t="e">
        <f t="shared" ca="1" si="80"/>
        <v>#REF!</v>
      </c>
      <c r="G356" t="s">
        <v>417</v>
      </c>
      <c r="H356" t="s">
        <v>421</v>
      </c>
      <c r="I356" t="e">
        <f t="shared" ca="1" si="73"/>
        <v>#REF!</v>
      </c>
      <c r="J356" t="e">
        <f t="shared" ca="1" si="74"/>
        <v>#REF!</v>
      </c>
      <c r="K356" t="s">
        <v>431</v>
      </c>
      <c r="L356" s="150" t="s">
        <v>423</v>
      </c>
      <c r="M356" s="150" t="s">
        <v>435</v>
      </c>
      <c r="N356" t="e">
        <f t="shared" ca="1" si="75"/>
        <v>#REF!</v>
      </c>
      <c r="O356" s="150" t="s">
        <v>412</v>
      </c>
      <c r="P356" s="150" t="s">
        <v>428</v>
      </c>
      <c r="Q356" s="150" t="s">
        <v>399</v>
      </c>
      <c r="R356" t="e">
        <f t="shared" ca="1" si="76"/>
        <v>#REF!</v>
      </c>
      <c r="S356" t="s">
        <v>398</v>
      </c>
      <c r="T356" t="s">
        <v>448</v>
      </c>
      <c r="U356" t="str">
        <f t="shared" ca="1" si="68"/>
        <v>Sheets("Master Data").Range("0" &amp; RowNo).Value</v>
      </c>
      <c r="V356" t="e">
        <f t="shared" ca="1" si="77"/>
        <v>#REF!</v>
      </c>
      <c r="X356" t="e">
        <f t="shared" ca="1" si="69"/>
        <v>#REF!</v>
      </c>
      <c r="Z356" t="e">
        <f t="shared" ca="1" si="70"/>
        <v>#REF!</v>
      </c>
      <c r="AB356" t="e">
        <f t="shared" ca="1" si="78"/>
        <v>#REF!</v>
      </c>
      <c r="AD356" t="e">
        <f t="shared" ca="1" si="79"/>
        <v>#REF!</v>
      </c>
    </row>
    <row r="357" spans="1:30" x14ac:dyDescent="0.3">
      <c r="A357" s="150">
        <v>350</v>
      </c>
      <c r="B357" s="150" t="str">
        <f t="shared" si="71"/>
        <v>ML1</v>
      </c>
      <c r="D357" t="s">
        <v>416</v>
      </c>
      <c r="E357">
        <f t="shared" ca="1" si="72"/>
        <v>0</v>
      </c>
      <c r="F357" t="e">
        <f t="shared" ca="1" si="80"/>
        <v>#REF!</v>
      </c>
      <c r="G357" t="s">
        <v>417</v>
      </c>
      <c r="H357" t="s">
        <v>421</v>
      </c>
      <c r="I357" t="e">
        <f t="shared" ca="1" si="73"/>
        <v>#REF!</v>
      </c>
      <c r="J357" t="e">
        <f t="shared" ca="1" si="74"/>
        <v>#REF!</v>
      </c>
      <c r="K357" t="s">
        <v>431</v>
      </c>
      <c r="L357" s="150" t="s">
        <v>423</v>
      </c>
      <c r="M357" s="150" t="s">
        <v>435</v>
      </c>
      <c r="N357" t="e">
        <f t="shared" ca="1" si="75"/>
        <v>#REF!</v>
      </c>
      <c r="O357" s="150" t="s">
        <v>412</v>
      </c>
      <c r="P357" s="150" t="s">
        <v>428</v>
      </c>
      <c r="Q357" s="150" t="s">
        <v>399</v>
      </c>
      <c r="R357" t="e">
        <f t="shared" ca="1" si="76"/>
        <v>#REF!</v>
      </c>
      <c r="S357" t="s">
        <v>398</v>
      </c>
      <c r="T357" t="s">
        <v>448</v>
      </c>
      <c r="U357" t="str">
        <f t="shared" ca="1" si="68"/>
        <v>Sheets("Master Data").Range("0" &amp; RowNo).Value</v>
      </c>
      <c r="V357" t="e">
        <f t="shared" ca="1" si="77"/>
        <v>#REF!</v>
      </c>
      <c r="X357" t="e">
        <f t="shared" ca="1" si="69"/>
        <v>#REF!</v>
      </c>
      <c r="Z357" t="e">
        <f t="shared" ca="1" si="70"/>
        <v>#REF!</v>
      </c>
      <c r="AB357" t="e">
        <f t="shared" ca="1" si="78"/>
        <v>#REF!</v>
      </c>
      <c r="AD357" t="e">
        <f t="shared" ca="1" si="79"/>
        <v>#REF!</v>
      </c>
    </row>
    <row r="358" spans="1:30" x14ac:dyDescent="0.3">
      <c r="A358" s="150">
        <v>351</v>
      </c>
      <c r="B358" s="150" t="str">
        <f t="shared" si="71"/>
        <v>MM1</v>
      </c>
      <c r="D358" t="s">
        <v>416</v>
      </c>
      <c r="E358">
        <f t="shared" ca="1" si="72"/>
        <v>0</v>
      </c>
      <c r="F358" t="e">
        <f t="shared" ca="1" si="80"/>
        <v>#REF!</v>
      </c>
      <c r="G358" t="s">
        <v>417</v>
      </c>
      <c r="H358" t="s">
        <v>421</v>
      </c>
      <c r="I358" t="e">
        <f t="shared" ca="1" si="73"/>
        <v>#REF!</v>
      </c>
      <c r="J358" t="e">
        <f t="shared" ca="1" si="74"/>
        <v>#REF!</v>
      </c>
      <c r="K358" t="s">
        <v>431</v>
      </c>
      <c r="L358" s="150" t="s">
        <v>423</v>
      </c>
      <c r="M358" s="150" t="s">
        <v>435</v>
      </c>
      <c r="N358" t="e">
        <f t="shared" ca="1" si="75"/>
        <v>#REF!</v>
      </c>
      <c r="O358" s="150" t="s">
        <v>412</v>
      </c>
      <c r="P358" s="150" t="s">
        <v>428</v>
      </c>
      <c r="Q358" s="150" t="s">
        <v>399</v>
      </c>
      <c r="R358" t="e">
        <f t="shared" ca="1" si="76"/>
        <v>#REF!</v>
      </c>
      <c r="S358" t="s">
        <v>398</v>
      </c>
      <c r="T358" t="s">
        <v>448</v>
      </c>
      <c r="U358" t="str">
        <f t="shared" ca="1" si="68"/>
        <v>Sheets("Master Data").Range("0" &amp; RowNo).Value</v>
      </c>
      <c r="V358" t="e">
        <f t="shared" ca="1" si="77"/>
        <v>#REF!</v>
      </c>
      <c r="X358" t="e">
        <f t="shared" ca="1" si="69"/>
        <v>#REF!</v>
      </c>
      <c r="Z358" t="e">
        <f t="shared" ca="1" si="70"/>
        <v>#REF!</v>
      </c>
      <c r="AB358" t="e">
        <f t="shared" ca="1" si="78"/>
        <v>#REF!</v>
      </c>
      <c r="AD358" t="e">
        <f t="shared" ca="1" si="79"/>
        <v>#REF!</v>
      </c>
    </row>
    <row r="359" spans="1:30" x14ac:dyDescent="0.3">
      <c r="A359" s="150">
        <v>352</v>
      </c>
      <c r="B359" s="150" t="str">
        <f t="shared" si="71"/>
        <v>MN1</v>
      </c>
      <c r="D359" t="s">
        <v>416</v>
      </c>
      <c r="E359">
        <f t="shared" ca="1" si="72"/>
        <v>0</v>
      </c>
      <c r="F359" t="e">
        <f t="shared" ca="1" si="80"/>
        <v>#REF!</v>
      </c>
      <c r="G359" t="s">
        <v>417</v>
      </c>
      <c r="H359" t="s">
        <v>421</v>
      </c>
      <c r="I359" t="e">
        <f t="shared" ca="1" si="73"/>
        <v>#REF!</v>
      </c>
      <c r="J359" t="e">
        <f t="shared" ca="1" si="74"/>
        <v>#REF!</v>
      </c>
      <c r="K359" t="s">
        <v>431</v>
      </c>
      <c r="L359" s="150" t="s">
        <v>423</v>
      </c>
      <c r="M359" s="150" t="s">
        <v>435</v>
      </c>
      <c r="N359" t="e">
        <f t="shared" ca="1" si="75"/>
        <v>#REF!</v>
      </c>
      <c r="O359" s="150" t="s">
        <v>412</v>
      </c>
      <c r="P359" s="150" t="s">
        <v>428</v>
      </c>
      <c r="Q359" s="150" t="s">
        <v>399</v>
      </c>
      <c r="R359" t="e">
        <f t="shared" ca="1" si="76"/>
        <v>#REF!</v>
      </c>
      <c r="S359" t="s">
        <v>398</v>
      </c>
      <c r="T359" t="s">
        <v>448</v>
      </c>
      <c r="U359" t="str">
        <f t="shared" ca="1" si="68"/>
        <v>Sheets("Master Data").Range("0" &amp; RowNo).Value</v>
      </c>
      <c r="V359" t="e">
        <f t="shared" ca="1" si="77"/>
        <v>#REF!</v>
      </c>
      <c r="X359" t="e">
        <f t="shared" ca="1" si="69"/>
        <v>#REF!</v>
      </c>
      <c r="Z359" t="e">
        <f t="shared" ca="1" si="70"/>
        <v>#REF!</v>
      </c>
      <c r="AB359" t="e">
        <f t="shared" ca="1" si="78"/>
        <v>#REF!</v>
      </c>
      <c r="AD359" t="e">
        <f t="shared" ca="1" si="79"/>
        <v>#REF!</v>
      </c>
    </row>
    <row r="360" spans="1:30" x14ac:dyDescent="0.3">
      <c r="A360" s="150">
        <v>353</v>
      </c>
      <c r="B360" s="150" t="str">
        <f t="shared" si="71"/>
        <v>MO1</v>
      </c>
      <c r="D360" t="s">
        <v>416</v>
      </c>
      <c r="E360">
        <f t="shared" ca="1" si="72"/>
        <v>0</v>
      </c>
      <c r="F360" t="e">
        <f t="shared" ca="1" si="80"/>
        <v>#REF!</v>
      </c>
      <c r="G360" t="s">
        <v>417</v>
      </c>
      <c r="H360" t="s">
        <v>421</v>
      </c>
      <c r="I360" t="e">
        <f t="shared" ca="1" si="73"/>
        <v>#REF!</v>
      </c>
      <c r="J360" t="e">
        <f t="shared" ca="1" si="74"/>
        <v>#REF!</v>
      </c>
      <c r="K360" t="s">
        <v>431</v>
      </c>
      <c r="L360" s="150" t="s">
        <v>423</v>
      </c>
      <c r="M360" s="150" t="s">
        <v>435</v>
      </c>
      <c r="N360" t="e">
        <f t="shared" ca="1" si="75"/>
        <v>#REF!</v>
      </c>
      <c r="O360" s="150" t="s">
        <v>412</v>
      </c>
      <c r="P360" s="150" t="s">
        <v>428</v>
      </c>
      <c r="Q360" s="150" t="s">
        <v>399</v>
      </c>
      <c r="R360" t="e">
        <f t="shared" ca="1" si="76"/>
        <v>#REF!</v>
      </c>
      <c r="S360" t="s">
        <v>398</v>
      </c>
      <c r="T360" t="s">
        <v>448</v>
      </c>
      <c r="U360" t="str">
        <f t="shared" ca="1" si="68"/>
        <v>Sheets("Master Data").Range("0" &amp; RowNo).Value</v>
      </c>
      <c r="V360" t="e">
        <f t="shared" ca="1" si="77"/>
        <v>#REF!</v>
      </c>
      <c r="X360" t="e">
        <f t="shared" ca="1" si="69"/>
        <v>#REF!</v>
      </c>
      <c r="Z360" t="e">
        <f t="shared" ca="1" si="70"/>
        <v>#REF!</v>
      </c>
      <c r="AB360" t="e">
        <f t="shared" ca="1" si="78"/>
        <v>#REF!</v>
      </c>
      <c r="AD360" t="e">
        <f t="shared" ca="1" si="79"/>
        <v>#REF!</v>
      </c>
    </row>
    <row r="361" spans="1:30" x14ac:dyDescent="0.3">
      <c r="A361" s="150">
        <v>354</v>
      </c>
      <c r="B361" s="150" t="str">
        <f t="shared" si="71"/>
        <v>MP1</v>
      </c>
      <c r="D361" t="s">
        <v>416</v>
      </c>
      <c r="E361">
        <f t="shared" ca="1" si="72"/>
        <v>0</v>
      </c>
      <c r="F361" t="e">
        <f t="shared" ca="1" si="80"/>
        <v>#REF!</v>
      </c>
      <c r="G361" t="s">
        <v>417</v>
      </c>
      <c r="H361" t="s">
        <v>421</v>
      </c>
      <c r="I361" t="e">
        <f t="shared" ca="1" si="73"/>
        <v>#REF!</v>
      </c>
      <c r="J361" t="e">
        <f t="shared" ca="1" si="74"/>
        <v>#REF!</v>
      </c>
      <c r="K361" t="s">
        <v>431</v>
      </c>
      <c r="L361" s="150" t="s">
        <v>423</v>
      </c>
      <c r="M361" s="150" t="s">
        <v>435</v>
      </c>
      <c r="N361" t="e">
        <f t="shared" ca="1" si="75"/>
        <v>#REF!</v>
      </c>
      <c r="O361" s="150" t="s">
        <v>412</v>
      </c>
      <c r="P361" s="150" t="s">
        <v>428</v>
      </c>
      <c r="Q361" s="150" t="s">
        <v>399</v>
      </c>
      <c r="R361" t="e">
        <f t="shared" ca="1" si="76"/>
        <v>#REF!</v>
      </c>
      <c r="S361" t="s">
        <v>398</v>
      </c>
      <c r="T361" t="s">
        <v>448</v>
      </c>
      <c r="U361" t="str">
        <f t="shared" ca="1" si="68"/>
        <v>Sheets("Master Data").Range("0" &amp; RowNo).Value</v>
      </c>
      <c r="V361" t="e">
        <f t="shared" ca="1" si="77"/>
        <v>#REF!</v>
      </c>
      <c r="X361" t="e">
        <f t="shared" ca="1" si="69"/>
        <v>#REF!</v>
      </c>
      <c r="Z361" t="e">
        <f t="shared" ca="1" si="70"/>
        <v>#REF!</v>
      </c>
      <c r="AB361" t="e">
        <f t="shared" ca="1" si="78"/>
        <v>#REF!</v>
      </c>
      <c r="AD361" t="e">
        <f t="shared" ca="1" si="79"/>
        <v>#REF!</v>
      </c>
    </row>
    <row r="362" spans="1:30" x14ac:dyDescent="0.3">
      <c r="A362" s="150">
        <v>355</v>
      </c>
      <c r="B362" s="150" t="str">
        <f t="shared" si="71"/>
        <v>MQ1</v>
      </c>
      <c r="D362" t="s">
        <v>416</v>
      </c>
      <c r="E362">
        <f t="shared" ca="1" si="72"/>
        <v>0</v>
      </c>
      <c r="F362" t="e">
        <f t="shared" ca="1" si="80"/>
        <v>#REF!</v>
      </c>
      <c r="G362" t="s">
        <v>417</v>
      </c>
      <c r="H362" t="s">
        <v>421</v>
      </c>
      <c r="I362" t="e">
        <f t="shared" ca="1" si="73"/>
        <v>#REF!</v>
      </c>
      <c r="J362" t="e">
        <f t="shared" ca="1" si="74"/>
        <v>#REF!</v>
      </c>
      <c r="K362" t="s">
        <v>431</v>
      </c>
      <c r="L362" s="150" t="s">
        <v>423</v>
      </c>
      <c r="M362" s="150" t="s">
        <v>435</v>
      </c>
      <c r="N362" t="e">
        <f t="shared" ca="1" si="75"/>
        <v>#REF!</v>
      </c>
      <c r="O362" s="150" t="s">
        <v>412</v>
      </c>
      <c r="P362" s="150" t="s">
        <v>428</v>
      </c>
      <c r="Q362" s="150" t="s">
        <v>399</v>
      </c>
      <c r="R362" t="e">
        <f t="shared" ca="1" si="76"/>
        <v>#REF!</v>
      </c>
      <c r="S362" t="s">
        <v>398</v>
      </c>
      <c r="T362" t="s">
        <v>448</v>
      </c>
      <c r="U362" t="str">
        <f t="shared" ca="1" si="68"/>
        <v>Sheets("Master Data").Range("0" &amp; RowNo).Value</v>
      </c>
      <c r="V362" t="e">
        <f t="shared" ca="1" si="77"/>
        <v>#REF!</v>
      </c>
      <c r="X362" t="e">
        <f t="shared" ca="1" si="69"/>
        <v>#REF!</v>
      </c>
      <c r="Z362" t="e">
        <f t="shared" ca="1" si="70"/>
        <v>#REF!</v>
      </c>
      <c r="AB362" t="e">
        <f t="shared" ca="1" si="78"/>
        <v>#REF!</v>
      </c>
      <c r="AD362" t="e">
        <f t="shared" ca="1" si="79"/>
        <v>#REF!</v>
      </c>
    </row>
    <row r="363" spans="1:30" x14ac:dyDescent="0.3">
      <c r="A363" s="150">
        <v>356</v>
      </c>
      <c r="B363" s="150" t="str">
        <f t="shared" si="71"/>
        <v>MR1</v>
      </c>
      <c r="D363" t="s">
        <v>416</v>
      </c>
      <c r="E363">
        <f t="shared" ca="1" si="72"/>
        <v>0</v>
      </c>
      <c r="F363" t="e">
        <f t="shared" ca="1" si="80"/>
        <v>#REF!</v>
      </c>
      <c r="G363" t="s">
        <v>417</v>
      </c>
      <c r="H363" t="s">
        <v>421</v>
      </c>
      <c r="I363" t="e">
        <f t="shared" ca="1" si="73"/>
        <v>#REF!</v>
      </c>
      <c r="J363" t="e">
        <f t="shared" ca="1" si="74"/>
        <v>#REF!</v>
      </c>
      <c r="K363" t="s">
        <v>431</v>
      </c>
      <c r="L363" s="150" t="s">
        <v>423</v>
      </c>
      <c r="M363" s="150" t="s">
        <v>435</v>
      </c>
      <c r="N363" t="e">
        <f t="shared" ca="1" si="75"/>
        <v>#REF!</v>
      </c>
      <c r="O363" s="150" t="s">
        <v>412</v>
      </c>
      <c r="P363" s="150" t="s">
        <v>428</v>
      </c>
      <c r="Q363" s="150" t="s">
        <v>399</v>
      </c>
      <c r="R363" t="e">
        <f t="shared" ca="1" si="76"/>
        <v>#REF!</v>
      </c>
      <c r="S363" t="s">
        <v>398</v>
      </c>
      <c r="T363" t="s">
        <v>448</v>
      </c>
      <c r="U363" t="str">
        <f t="shared" ca="1" si="68"/>
        <v>Sheets("Master Data").Range("0" &amp; RowNo).Value</v>
      </c>
      <c r="V363" t="e">
        <f t="shared" ca="1" si="77"/>
        <v>#REF!</v>
      </c>
      <c r="X363" t="e">
        <f t="shared" ca="1" si="69"/>
        <v>#REF!</v>
      </c>
      <c r="Z363" t="e">
        <f t="shared" ca="1" si="70"/>
        <v>#REF!</v>
      </c>
      <c r="AB363" t="e">
        <f t="shared" ca="1" si="78"/>
        <v>#REF!</v>
      </c>
      <c r="AD363" t="e">
        <f t="shared" ca="1" si="79"/>
        <v>#REF!</v>
      </c>
    </row>
    <row r="364" spans="1:30" x14ac:dyDescent="0.3">
      <c r="A364" s="150">
        <v>357</v>
      </c>
      <c r="B364" s="150" t="str">
        <f t="shared" si="71"/>
        <v>MS1</v>
      </c>
      <c r="D364" t="s">
        <v>416</v>
      </c>
      <c r="E364">
        <f t="shared" ca="1" si="72"/>
        <v>0</v>
      </c>
      <c r="F364" t="e">
        <f t="shared" ca="1" si="80"/>
        <v>#REF!</v>
      </c>
      <c r="G364" t="s">
        <v>417</v>
      </c>
      <c r="H364" t="s">
        <v>421</v>
      </c>
      <c r="I364" t="e">
        <f t="shared" ca="1" si="73"/>
        <v>#REF!</v>
      </c>
      <c r="J364" t="e">
        <f t="shared" ca="1" si="74"/>
        <v>#REF!</v>
      </c>
      <c r="K364" t="s">
        <v>431</v>
      </c>
      <c r="L364" s="150" t="s">
        <v>423</v>
      </c>
      <c r="M364" s="150" t="s">
        <v>435</v>
      </c>
      <c r="N364" t="e">
        <f t="shared" ca="1" si="75"/>
        <v>#REF!</v>
      </c>
      <c r="O364" s="150" t="s">
        <v>412</v>
      </c>
      <c r="P364" s="150" t="s">
        <v>428</v>
      </c>
      <c r="Q364" s="150" t="s">
        <v>399</v>
      </c>
      <c r="R364" t="e">
        <f t="shared" ca="1" si="76"/>
        <v>#REF!</v>
      </c>
      <c r="S364" t="s">
        <v>398</v>
      </c>
      <c r="T364" t="s">
        <v>448</v>
      </c>
      <c r="U364" t="str">
        <f t="shared" ca="1" si="68"/>
        <v>Sheets("Master Data").Range("0" &amp; RowNo).Value</v>
      </c>
      <c r="V364" t="e">
        <f t="shared" ca="1" si="77"/>
        <v>#REF!</v>
      </c>
      <c r="X364" t="e">
        <f t="shared" ca="1" si="69"/>
        <v>#REF!</v>
      </c>
      <c r="Z364" t="e">
        <f t="shared" ca="1" si="70"/>
        <v>#REF!</v>
      </c>
      <c r="AB364" t="e">
        <f t="shared" ca="1" si="78"/>
        <v>#REF!</v>
      </c>
      <c r="AD364" t="e">
        <f t="shared" ca="1" si="79"/>
        <v>#REF!</v>
      </c>
    </row>
    <row r="365" spans="1:30" x14ac:dyDescent="0.3">
      <c r="A365" s="150">
        <v>358</v>
      </c>
      <c r="B365" s="150" t="str">
        <f t="shared" si="71"/>
        <v>MT1</v>
      </c>
      <c r="D365" t="s">
        <v>416</v>
      </c>
      <c r="E365">
        <f t="shared" ca="1" si="72"/>
        <v>0</v>
      </c>
      <c r="F365" t="e">
        <f t="shared" ca="1" si="80"/>
        <v>#REF!</v>
      </c>
      <c r="G365" t="s">
        <v>417</v>
      </c>
      <c r="H365" t="s">
        <v>421</v>
      </c>
      <c r="I365" t="e">
        <f t="shared" ca="1" si="73"/>
        <v>#REF!</v>
      </c>
      <c r="J365" t="e">
        <f t="shared" ca="1" si="74"/>
        <v>#REF!</v>
      </c>
      <c r="K365" t="s">
        <v>431</v>
      </c>
      <c r="L365" s="150" t="s">
        <v>423</v>
      </c>
      <c r="M365" s="150" t="s">
        <v>435</v>
      </c>
      <c r="N365" t="e">
        <f t="shared" ca="1" si="75"/>
        <v>#REF!</v>
      </c>
      <c r="O365" s="150" t="s">
        <v>412</v>
      </c>
      <c r="P365" s="150" t="s">
        <v>428</v>
      </c>
      <c r="Q365" s="150" t="s">
        <v>399</v>
      </c>
      <c r="R365" t="e">
        <f t="shared" ca="1" si="76"/>
        <v>#REF!</v>
      </c>
      <c r="S365" t="s">
        <v>398</v>
      </c>
      <c r="T365" t="s">
        <v>448</v>
      </c>
      <c r="U365" t="str">
        <f t="shared" ca="1" si="68"/>
        <v>Sheets("Master Data").Range("0" &amp; RowNo).Value</v>
      </c>
      <c r="V365" t="e">
        <f t="shared" ca="1" si="77"/>
        <v>#REF!</v>
      </c>
      <c r="X365" t="e">
        <f t="shared" ca="1" si="69"/>
        <v>#REF!</v>
      </c>
      <c r="Z365" t="e">
        <f t="shared" ca="1" si="70"/>
        <v>#REF!</v>
      </c>
      <c r="AB365" t="e">
        <f t="shared" ca="1" si="78"/>
        <v>#REF!</v>
      </c>
      <c r="AD365" t="e">
        <f t="shared" ca="1" si="79"/>
        <v>#REF!</v>
      </c>
    </row>
    <row r="366" spans="1:30" x14ac:dyDescent="0.3">
      <c r="A366" s="150">
        <v>359</v>
      </c>
      <c r="B366" s="150" t="str">
        <f t="shared" si="71"/>
        <v>MU1</v>
      </c>
      <c r="D366" t="s">
        <v>416</v>
      </c>
      <c r="E366">
        <f t="shared" ca="1" si="72"/>
        <v>0</v>
      </c>
      <c r="F366" t="e">
        <f t="shared" ca="1" si="80"/>
        <v>#REF!</v>
      </c>
      <c r="G366" t="s">
        <v>417</v>
      </c>
      <c r="H366" t="s">
        <v>421</v>
      </c>
      <c r="I366" t="e">
        <f t="shared" ca="1" si="73"/>
        <v>#REF!</v>
      </c>
      <c r="J366" t="e">
        <f t="shared" ca="1" si="74"/>
        <v>#REF!</v>
      </c>
      <c r="K366" t="s">
        <v>431</v>
      </c>
      <c r="L366" s="150" t="s">
        <v>423</v>
      </c>
      <c r="M366" s="150" t="s">
        <v>435</v>
      </c>
      <c r="N366" t="e">
        <f t="shared" ca="1" si="75"/>
        <v>#REF!</v>
      </c>
      <c r="O366" s="150" t="s">
        <v>412</v>
      </c>
      <c r="P366" s="150" t="s">
        <v>428</v>
      </c>
      <c r="Q366" s="150" t="s">
        <v>399</v>
      </c>
      <c r="R366" t="e">
        <f t="shared" ca="1" si="76"/>
        <v>#REF!</v>
      </c>
      <c r="S366" t="s">
        <v>398</v>
      </c>
      <c r="T366" t="s">
        <v>448</v>
      </c>
      <c r="U366" t="str">
        <f t="shared" ca="1" si="68"/>
        <v>Sheets("Master Data").Range("0" &amp; RowNo).Value</v>
      </c>
      <c r="V366" t="e">
        <f t="shared" ca="1" si="77"/>
        <v>#REF!</v>
      </c>
      <c r="X366" t="e">
        <f t="shared" ca="1" si="69"/>
        <v>#REF!</v>
      </c>
      <c r="Z366" t="e">
        <f t="shared" ca="1" si="70"/>
        <v>#REF!</v>
      </c>
      <c r="AB366" t="e">
        <f t="shared" ca="1" si="78"/>
        <v>#REF!</v>
      </c>
      <c r="AD366" t="e">
        <f t="shared" ca="1" si="79"/>
        <v>#REF!</v>
      </c>
    </row>
    <row r="367" spans="1:30" x14ac:dyDescent="0.3">
      <c r="A367" s="150">
        <v>360</v>
      </c>
      <c r="B367" s="150" t="str">
        <f t="shared" si="71"/>
        <v>MV1</v>
      </c>
      <c r="D367" t="s">
        <v>416</v>
      </c>
      <c r="E367">
        <f t="shared" ca="1" si="72"/>
        <v>0</v>
      </c>
      <c r="F367" t="e">
        <f t="shared" ca="1" si="80"/>
        <v>#REF!</v>
      </c>
      <c r="G367" t="s">
        <v>417</v>
      </c>
      <c r="H367" t="s">
        <v>421</v>
      </c>
      <c r="I367" t="e">
        <f t="shared" ca="1" si="73"/>
        <v>#REF!</v>
      </c>
      <c r="J367" t="e">
        <f t="shared" ca="1" si="74"/>
        <v>#REF!</v>
      </c>
      <c r="K367" t="s">
        <v>431</v>
      </c>
      <c r="L367" s="150" t="s">
        <v>423</v>
      </c>
      <c r="M367" s="150" t="s">
        <v>435</v>
      </c>
      <c r="N367" t="e">
        <f t="shared" ca="1" si="75"/>
        <v>#REF!</v>
      </c>
      <c r="O367" s="150" t="s">
        <v>412</v>
      </c>
      <c r="P367" s="150" t="s">
        <v>428</v>
      </c>
      <c r="Q367" s="150" t="s">
        <v>399</v>
      </c>
      <c r="R367" t="e">
        <f t="shared" ca="1" si="76"/>
        <v>#REF!</v>
      </c>
      <c r="S367" t="s">
        <v>398</v>
      </c>
      <c r="T367" t="s">
        <v>448</v>
      </c>
      <c r="U367" t="str">
        <f t="shared" ca="1" si="68"/>
        <v>Sheets("Master Data").Range("0" &amp; RowNo).Value</v>
      </c>
      <c r="V367" t="e">
        <f t="shared" ca="1" si="77"/>
        <v>#REF!</v>
      </c>
      <c r="X367" t="e">
        <f t="shared" ca="1" si="69"/>
        <v>#REF!</v>
      </c>
      <c r="Z367" t="e">
        <f t="shared" ca="1" si="70"/>
        <v>#REF!</v>
      </c>
      <c r="AB367" t="e">
        <f t="shared" ca="1" si="78"/>
        <v>#REF!</v>
      </c>
      <c r="AD367" t="e">
        <f t="shared" ca="1" si="79"/>
        <v>#REF!</v>
      </c>
    </row>
    <row r="368" spans="1:30" x14ac:dyDescent="0.3">
      <c r="A368" s="150">
        <v>361</v>
      </c>
      <c r="B368" s="150" t="str">
        <f t="shared" si="71"/>
        <v>MW1</v>
      </c>
      <c r="D368" t="s">
        <v>416</v>
      </c>
      <c r="E368">
        <f t="shared" ca="1" si="72"/>
        <v>0</v>
      </c>
      <c r="F368" t="e">
        <f t="shared" ca="1" si="80"/>
        <v>#REF!</v>
      </c>
      <c r="G368" t="s">
        <v>417</v>
      </c>
      <c r="H368" t="s">
        <v>421</v>
      </c>
      <c r="I368" t="e">
        <f t="shared" ca="1" si="73"/>
        <v>#REF!</v>
      </c>
      <c r="J368" t="e">
        <f t="shared" ca="1" si="74"/>
        <v>#REF!</v>
      </c>
      <c r="K368" t="s">
        <v>431</v>
      </c>
      <c r="L368" s="150" t="s">
        <v>423</v>
      </c>
      <c r="M368" s="150" t="s">
        <v>435</v>
      </c>
      <c r="N368" t="e">
        <f t="shared" ca="1" si="75"/>
        <v>#REF!</v>
      </c>
      <c r="O368" s="150" t="s">
        <v>412</v>
      </c>
      <c r="P368" s="150" t="s">
        <v>428</v>
      </c>
      <c r="Q368" s="150" t="s">
        <v>399</v>
      </c>
      <c r="R368" t="e">
        <f t="shared" ca="1" si="76"/>
        <v>#REF!</v>
      </c>
      <c r="S368" t="s">
        <v>398</v>
      </c>
      <c r="T368" t="s">
        <v>448</v>
      </c>
      <c r="U368" t="str">
        <f t="shared" ca="1" si="68"/>
        <v>Sheets("Master Data").Range("0" &amp; RowNo).Value</v>
      </c>
      <c r="V368" t="e">
        <f t="shared" ca="1" si="77"/>
        <v>#REF!</v>
      </c>
      <c r="X368" t="e">
        <f t="shared" ca="1" si="69"/>
        <v>#REF!</v>
      </c>
      <c r="Z368" t="e">
        <f t="shared" ca="1" si="70"/>
        <v>#REF!</v>
      </c>
      <c r="AB368" t="e">
        <f t="shared" ca="1" si="78"/>
        <v>#REF!</v>
      </c>
      <c r="AD368" t="e">
        <f t="shared" ca="1" si="79"/>
        <v>#REF!</v>
      </c>
    </row>
    <row r="369" spans="1:30" x14ac:dyDescent="0.3">
      <c r="A369" s="150">
        <v>362</v>
      </c>
      <c r="B369" s="150" t="str">
        <f t="shared" si="71"/>
        <v>MX1</v>
      </c>
      <c r="D369" t="s">
        <v>416</v>
      </c>
      <c r="E369">
        <f t="shared" ca="1" si="72"/>
        <v>0</v>
      </c>
      <c r="F369" t="e">
        <f t="shared" ca="1" si="80"/>
        <v>#REF!</v>
      </c>
      <c r="G369" t="s">
        <v>417</v>
      </c>
      <c r="H369" t="s">
        <v>421</v>
      </c>
      <c r="I369" t="e">
        <f t="shared" ca="1" si="73"/>
        <v>#REF!</v>
      </c>
      <c r="J369" t="e">
        <f t="shared" ca="1" si="74"/>
        <v>#REF!</v>
      </c>
      <c r="K369" t="s">
        <v>431</v>
      </c>
      <c r="L369" s="150" t="s">
        <v>423</v>
      </c>
      <c r="M369" s="150" t="s">
        <v>435</v>
      </c>
      <c r="N369" t="e">
        <f t="shared" ca="1" si="75"/>
        <v>#REF!</v>
      </c>
      <c r="O369" s="150" t="s">
        <v>412</v>
      </c>
      <c r="P369" s="150" t="s">
        <v>428</v>
      </c>
      <c r="Q369" s="150" t="s">
        <v>399</v>
      </c>
      <c r="R369" t="e">
        <f t="shared" ca="1" si="76"/>
        <v>#REF!</v>
      </c>
      <c r="S369" t="s">
        <v>398</v>
      </c>
      <c r="T369" t="s">
        <v>448</v>
      </c>
      <c r="U369" t="str">
        <f t="shared" ca="1" si="68"/>
        <v>Sheets("Master Data").Range("0" &amp; RowNo).Value</v>
      </c>
      <c r="V369" t="e">
        <f t="shared" ca="1" si="77"/>
        <v>#REF!</v>
      </c>
      <c r="X369" t="e">
        <f t="shared" ca="1" si="69"/>
        <v>#REF!</v>
      </c>
      <c r="Z369" t="e">
        <f t="shared" ca="1" si="70"/>
        <v>#REF!</v>
      </c>
      <c r="AB369" t="e">
        <f t="shared" ca="1" si="78"/>
        <v>#REF!</v>
      </c>
      <c r="AD369" t="e">
        <f t="shared" ca="1" si="79"/>
        <v>#REF!</v>
      </c>
    </row>
    <row r="370" spans="1:30" x14ac:dyDescent="0.3">
      <c r="A370" s="150">
        <v>363</v>
      </c>
      <c r="B370" s="150" t="str">
        <f t="shared" si="71"/>
        <v>MY1</v>
      </c>
      <c r="D370" t="s">
        <v>416</v>
      </c>
      <c r="E370">
        <f t="shared" ca="1" si="72"/>
        <v>0</v>
      </c>
      <c r="F370" t="e">
        <f t="shared" ca="1" si="80"/>
        <v>#REF!</v>
      </c>
      <c r="G370" t="s">
        <v>417</v>
      </c>
      <c r="H370" t="s">
        <v>421</v>
      </c>
      <c r="I370" t="e">
        <f t="shared" ca="1" si="73"/>
        <v>#REF!</v>
      </c>
      <c r="J370" t="e">
        <f t="shared" ca="1" si="74"/>
        <v>#REF!</v>
      </c>
      <c r="K370" t="s">
        <v>431</v>
      </c>
      <c r="L370" s="150" t="s">
        <v>423</v>
      </c>
      <c r="M370" s="150" t="s">
        <v>435</v>
      </c>
      <c r="N370" t="e">
        <f t="shared" ca="1" si="75"/>
        <v>#REF!</v>
      </c>
      <c r="O370" s="150" t="s">
        <v>412</v>
      </c>
      <c r="P370" s="150" t="s">
        <v>428</v>
      </c>
      <c r="Q370" s="150" t="s">
        <v>399</v>
      </c>
      <c r="R370" t="e">
        <f t="shared" ca="1" si="76"/>
        <v>#REF!</v>
      </c>
      <c r="S370" t="s">
        <v>398</v>
      </c>
      <c r="T370" t="s">
        <v>448</v>
      </c>
      <c r="U370" t="str">
        <f t="shared" ca="1" si="68"/>
        <v>Sheets("Master Data").Range("0" &amp; RowNo).Value</v>
      </c>
      <c r="V370" t="e">
        <f t="shared" ca="1" si="77"/>
        <v>#REF!</v>
      </c>
      <c r="X370" t="e">
        <f t="shared" ca="1" si="69"/>
        <v>#REF!</v>
      </c>
      <c r="Z370" t="e">
        <f t="shared" ca="1" si="70"/>
        <v>#REF!</v>
      </c>
      <c r="AB370" t="e">
        <f t="shared" ca="1" si="78"/>
        <v>#REF!</v>
      </c>
      <c r="AD370" t="e">
        <f t="shared" ca="1" si="79"/>
        <v>#REF!</v>
      </c>
    </row>
    <row r="371" spans="1:30" x14ac:dyDescent="0.3">
      <c r="A371" s="150">
        <v>364</v>
      </c>
      <c r="B371" s="150" t="str">
        <f t="shared" si="71"/>
        <v>MZ1</v>
      </c>
      <c r="D371" t="s">
        <v>416</v>
      </c>
      <c r="E371">
        <f t="shared" ca="1" si="72"/>
        <v>0</v>
      </c>
      <c r="F371" t="e">
        <f t="shared" ca="1" si="80"/>
        <v>#REF!</v>
      </c>
      <c r="G371" t="s">
        <v>417</v>
      </c>
      <c r="H371" t="s">
        <v>421</v>
      </c>
      <c r="I371" t="e">
        <f t="shared" ca="1" si="73"/>
        <v>#REF!</v>
      </c>
      <c r="J371" t="e">
        <f t="shared" ca="1" si="74"/>
        <v>#REF!</v>
      </c>
      <c r="K371" t="s">
        <v>431</v>
      </c>
      <c r="L371" s="150" t="s">
        <v>423</v>
      </c>
      <c r="M371" s="150" t="s">
        <v>435</v>
      </c>
      <c r="N371" t="e">
        <f t="shared" ca="1" si="75"/>
        <v>#REF!</v>
      </c>
      <c r="O371" s="150" t="s">
        <v>412</v>
      </c>
      <c r="P371" s="150" t="s">
        <v>428</v>
      </c>
      <c r="Q371" s="150" t="s">
        <v>399</v>
      </c>
      <c r="R371" t="e">
        <f t="shared" ca="1" si="76"/>
        <v>#REF!</v>
      </c>
      <c r="S371" t="s">
        <v>398</v>
      </c>
      <c r="T371" t="s">
        <v>448</v>
      </c>
      <c r="U371" t="str">
        <f t="shared" ca="1" si="68"/>
        <v>Sheets("Master Data").Range("0" &amp; RowNo).Value</v>
      </c>
      <c r="V371" t="e">
        <f t="shared" ca="1" si="77"/>
        <v>#REF!</v>
      </c>
      <c r="X371" t="e">
        <f t="shared" ca="1" si="69"/>
        <v>#REF!</v>
      </c>
      <c r="Z371" t="e">
        <f t="shared" ca="1" si="70"/>
        <v>#REF!</v>
      </c>
      <c r="AB371" t="e">
        <f t="shared" ca="1" si="78"/>
        <v>#REF!</v>
      </c>
      <c r="AD371" t="e">
        <f t="shared" ca="1" si="79"/>
        <v>#REF!</v>
      </c>
    </row>
    <row r="372" spans="1:30" x14ac:dyDescent="0.3">
      <c r="A372" s="150">
        <v>365</v>
      </c>
      <c r="B372" s="150" t="str">
        <f t="shared" si="71"/>
        <v>NA1</v>
      </c>
      <c r="D372" t="s">
        <v>416</v>
      </c>
      <c r="E372">
        <f t="shared" ca="1" si="72"/>
        <v>0</v>
      </c>
      <c r="F372" t="e">
        <f t="shared" ca="1" si="80"/>
        <v>#REF!</v>
      </c>
      <c r="G372" t="s">
        <v>417</v>
      </c>
      <c r="H372" t="s">
        <v>421</v>
      </c>
      <c r="I372" t="e">
        <f t="shared" ca="1" si="73"/>
        <v>#REF!</v>
      </c>
      <c r="J372" t="e">
        <f t="shared" ca="1" si="74"/>
        <v>#REF!</v>
      </c>
      <c r="K372" t="s">
        <v>431</v>
      </c>
      <c r="L372" s="150" t="s">
        <v>423</v>
      </c>
      <c r="M372" s="150" t="s">
        <v>435</v>
      </c>
      <c r="N372" t="e">
        <f t="shared" ca="1" si="75"/>
        <v>#REF!</v>
      </c>
      <c r="O372" s="150" t="s">
        <v>412</v>
      </c>
      <c r="P372" s="150" t="s">
        <v>428</v>
      </c>
      <c r="Q372" s="150" t="s">
        <v>399</v>
      </c>
      <c r="R372" t="e">
        <f t="shared" ca="1" si="76"/>
        <v>#REF!</v>
      </c>
      <c r="S372" t="s">
        <v>398</v>
      </c>
      <c r="T372" t="s">
        <v>448</v>
      </c>
      <c r="U372" t="str">
        <f t="shared" ca="1" si="68"/>
        <v>Sheets("Master Data").Range("0" &amp; RowNo).Value</v>
      </c>
      <c r="V372" t="e">
        <f t="shared" ca="1" si="77"/>
        <v>#REF!</v>
      </c>
      <c r="X372" t="e">
        <f t="shared" ca="1" si="69"/>
        <v>#REF!</v>
      </c>
      <c r="Z372" t="e">
        <f t="shared" ca="1" si="70"/>
        <v>#REF!</v>
      </c>
      <c r="AB372" t="e">
        <f t="shared" ca="1" si="78"/>
        <v>#REF!</v>
      </c>
      <c r="AD372" t="e">
        <f t="shared" ca="1" si="79"/>
        <v>#REF!</v>
      </c>
    </row>
    <row r="373" spans="1:30" x14ac:dyDescent="0.3">
      <c r="A373" s="150">
        <v>366</v>
      </c>
      <c r="B373" s="150" t="str">
        <f t="shared" si="71"/>
        <v>NB1</v>
      </c>
      <c r="D373" t="s">
        <v>416</v>
      </c>
      <c r="E373">
        <f t="shared" ca="1" si="72"/>
        <v>0</v>
      </c>
      <c r="F373" t="e">
        <f t="shared" ca="1" si="80"/>
        <v>#REF!</v>
      </c>
      <c r="G373" t="s">
        <v>417</v>
      </c>
      <c r="H373" t="s">
        <v>421</v>
      </c>
      <c r="I373" t="e">
        <f t="shared" ca="1" si="73"/>
        <v>#REF!</v>
      </c>
      <c r="J373" t="e">
        <f t="shared" ca="1" si="74"/>
        <v>#REF!</v>
      </c>
      <c r="K373" t="s">
        <v>431</v>
      </c>
      <c r="L373" s="150" t="s">
        <v>423</v>
      </c>
      <c r="M373" s="150" t="s">
        <v>435</v>
      </c>
      <c r="N373" t="e">
        <f t="shared" ca="1" si="75"/>
        <v>#REF!</v>
      </c>
      <c r="O373" s="150" t="s">
        <v>412</v>
      </c>
      <c r="P373" s="150" t="s">
        <v>428</v>
      </c>
      <c r="Q373" s="150" t="s">
        <v>399</v>
      </c>
      <c r="R373" t="e">
        <f t="shared" ca="1" si="76"/>
        <v>#REF!</v>
      </c>
      <c r="S373" t="s">
        <v>398</v>
      </c>
      <c r="T373" t="s">
        <v>448</v>
      </c>
      <c r="U373" t="str">
        <f t="shared" ca="1" si="68"/>
        <v>Sheets("Master Data").Range("0" &amp; RowNo).Value</v>
      </c>
      <c r="V373" t="e">
        <f t="shared" ca="1" si="77"/>
        <v>#REF!</v>
      </c>
      <c r="X373" t="e">
        <f t="shared" ca="1" si="69"/>
        <v>#REF!</v>
      </c>
      <c r="Z373" t="e">
        <f t="shared" ca="1" si="70"/>
        <v>#REF!</v>
      </c>
      <c r="AB373" t="e">
        <f t="shared" ca="1" si="78"/>
        <v>#REF!</v>
      </c>
      <c r="AD373" t="e">
        <f t="shared" ca="1" si="79"/>
        <v>#REF!</v>
      </c>
    </row>
    <row r="374" spans="1:30" x14ac:dyDescent="0.3">
      <c r="A374" s="150">
        <v>367</v>
      </c>
      <c r="B374" s="150" t="str">
        <f t="shared" si="71"/>
        <v>NC1</v>
      </c>
      <c r="D374" t="s">
        <v>416</v>
      </c>
      <c r="E374">
        <f t="shared" ca="1" si="72"/>
        <v>0</v>
      </c>
      <c r="F374" t="e">
        <f t="shared" ca="1" si="80"/>
        <v>#REF!</v>
      </c>
      <c r="G374" t="s">
        <v>417</v>
      </c>
      <c r="H374" t="s">
        <v>421</v>
      </c>
      <c r="I374" t="e">
        <f t="shared" ca="1" si="73"/>
        <v>#REF!</v>
      </c>
      <c r="J374" t="e">
        <f t="shared" ca="1" si="74"/>
        <v>#REF!</v>
      </c>
      <c r="K374" t="s">
        <v>431</v>
      </c>
      <c r="L374" s="150" t="s">
        <v>423</v>
      </c>
      <c r="M374" s="150" t="s">
        <v>435</v>
      </c>
      <c r="N374" t="e">
        <f t="shared" ca="1" si="75"/>
        <v>#REF!</v>
      </c>
      <c r="O374" s="150" t="s">
        <v>412</v>
      </c>
      <c r="P374" s="150" t="s">
        <v>428</v>
      </c>
      <c r="Q374" s="150" t="s">
        <v>399</v>
      </c>
      <c r="R374" t="e">
        <f t="shared" ca="1" si="76"/>
        <v>#REF!</v>
      </c>
      <c r="S374" t="s">
        <v>398</v>
      </c>
      <c r="T374" t="s">
        <v>448</v>
      </c>
      <c r="U374" t="str">
        <f t="shared" ca="1" si="68"/>
        <v>Sheets("Master Data").Range("0" &amp; RowNo).Value</v>
      </c>
      <c r="V374" t="e">
        <f t="shared" ca="1" si="77"/>
        <v>#REF!</v>
      </c>
      <c r="X374" t="e">
        <f t="shared" ca="1" si="69"/>
        <v>#REF!</v>
      </c>
      <c r="Z374" t="e">
        <f t="shared" ca="1" si="70"/>
        <v>#REF!</v>
      </c>
      <c r="AB374" t="e">
        <f t="shared" ca="1" si="78"/>
        <v>#REF!</v>
      </c>
      <c r="AD374" t="e">
        <f t="shared" ca="1" si="79"/>
        <v>#REF!</v>
      </c>
    </row>
    <row r="375" spans="1:30" x14ac:dyDescent="0.3">
      <c r="A375" s="150">
        <v>368</v>
      </c>
      <c r="B375" s="150" t="str">
        <f t="shared" si="71"/>
        <v>ND1</v>
      </c>
      <c r="D375" t="s">
        <v>416</v>
      </c>
      <c r="E375">
        <f t="shared" ca="1" si="72"/>
        <v>0</v>
      </c>
      <c r="F375" t="e">
        <f t="shared" ca="1" si="80"/>
        <v>#REF!</v>
      </c>
      <c r="G375" t="s">
        <v>417</v>
      </c>
      <c r="H375" t="s">
        <v>421</v>
      </c>
      <c r="I375" t="e">
        <f t="shared" ca="1" si="73"/>
        <v>#REF!</v>
      </c>
      <c r="J375" t="e">
        <f t="shared" ca="1" si="74"/>
        <v>#REF!</v>
      </c>
      <c r="K375" t="s">
        <v>431</v>
      </c>
      <c r="L375" s="150" t="s">
        <v>423</v>
      </c>
      <c r="M375" s="150" t="s">
        <v>435</v>
      </c>
      <c r="N375" t="e">
        <f t="shared" ca="1" si="75"/>
        <v>#REF!</v>
      </c>
      <c r="O375" s="150" t="s">
        <v>412</v>
      </c>
      <c r="P375" s="150" t="s">
        <v>428</v>
      </c>
      <c r="Q375" s="150" t="s">
        <v>399</v>
      </c>
      <c r="R375" t="e">
        <f t="shared" ca="1" si="76"/>
        <v>#REF!</v>
      </c>
      <c r="S375" t="s">
        <v>398</v>
      </c>
      <c r="T375" t="s">
        <v>448</v>
      </c>
      <c r="U375" t="str">
        <f t="shared" ca="1" si="68"/>
        <v>Sheets("Master Data").Range("0" &amp; RowNo).Value</v>
      </c>
      <c r="V375" t="e">
        <f t="shared" ca="1" si="77"/>
        <v>#REF!</v>
      </c>
      <c r="X375" t="e">
        <f t="shared" ca="1" si="69"/>
        <v>#REF!</v>
      </c>
      <c r="Z375" t="e">
        <f t="shared" ca="1" si="70"/>
        <v>#REF!</v>
      </c>
      <c r="AB375" t="e">
        <f t="shared" ca="1" si="78"/>
        <v>#REF!</v>
      </c>
      <c r="AD375" t="e">
        <f t="shared" ca="1" si="79"/>
        <v>#REF!</v>
      </c>
    </row>
    <row r="376" spans="1:30" x14ac:dyDescent="0.3">
      <c r="A376" s="150">
        <v>369</v>
      </c>
      <c r="B376" s="150" t="str">
        <f t="shared" si="71"/>
        <v>NE1</v>
      </c>
      <c r="D376" t="s">
        <v>416</v>
      </c>
      <c r="E376">
        <f t="shared" ca="1" si="72"/>
        <v>0</v>
      </c>
      <c r="F376" t="e">
        <f t="shared" ca="1" si="80"/>
        <v>#REF!</v>
      </c>
      <c r="G376" t="s">
        <v>417</v>
      </c>
      <c r="H376" t="s">
        <v>421</v>
      </c>
      <c r="I376" t="e">
        <f t="shared" ca="1" si="73"/>
        <v>#REF!</v>
      </c>
      <c r="J376" t="e">
        <f t="shared" ca="1" si="74"/>
        <v>#REF!</v>
      </c>
      <c r="K376" t="s">
        <v>431</v>
      </c>
      <c r="L376" s="150" t="s">
        <v>423</v>
      </c>
      <c r="M376" s="150" t="s">
        <v>435</v>
      </c>
      <c r="N376" t="e">
        <f t="shared" ca="1" si="75"/>
        <v>#REF!</v>
      </c>
      <c r="O376" s="150" t="s">
        <v>412</v>
      </c>
      <c r="P376" s="150" t="s">
        <v>428</v>
      </c>
      <c r="Q376" s="150" t="s">
        <v>399</v>
      </c>
      <c r="R376" t="e">
        <f t="shared" ca="1" si="76"/>
        <v>#REF!</v>
      </c>
      <c r="S376" t="s">
        <v>398</v>
      </c>
      <c r="T376" t="s">
        <v>448</v>
      </c>
      <c r="U376" t="str">
        <f t="shared" ca="1" si="68"/>
        <v>Sheets("Master Data").Range("0" &amp; RowNo).Value</v>
      </c>
      <c r="V376" t="e">
        <f t="shared" ca="1" si="77"/>
        <v>#REF!</v>
      </c>
      <c r="X376" t="e">
        <f t="shared" ca="1" si="69"/>
        <v>#REF!</v>
      </c>
      <c r="Z376" t="e">
        <f t="shared" ca="1" si="70"/>
        <v>#REF!</v>
      </c>
      <c r="AB376" t="e">
        <f t="shared" ca="1" si="78"/>
        <v>#REF!</v>
      </c>
      <c r="AD376" t="e">
        <f t="shared" ca="1" si="79"/>
        <v>#REF!</v>
      </c>
    </row>
    <row r="377" spans="1:30" x14ac:dyDescent="0.3">
      <c r="A377" s="150">
        <v>370</v>
      </c>
      <c r="B377" s="150" t="str">
        <f t="shared" si="71"/>
        <v>NF1</v>
      </c>
      <c r="D377" t="s">
        <v>416</v>
      </c>
      <c r="E377">
        <f t="shared" ca="1" si="72"/>
        <v>0</v>
      </c>
      <c r="F377" t="e">
        <f t="shared" ca="1" si="80"/>
        <v>#REF!</v>
      </c>
      <c r="G377" t="s">
        <v>417</v>
      </c>
      <c r="H377" t="s">
        <v>421</v>
      </c>
      <c r="I377" t="e">
        <f t="shared" ca="1" si="73"/>
        <v>#REF!</v>
      </c>
      <c r="J377" t="e">
        <f t="shared" ca="1" si="74"/>
        <v>#REF!</v>
      </c>
      <c r="K377" t="s">
        <v>431</v>
      </c>
      <c r="L377" s="150" t="s">
        <v>423</v>
      </c>
      <c r="M377" s="150" t="s">
        <v>435</v>
      </c>
      <c r="N377" t="e">
        <f t="shared" ca="1" si="75"/>
        <v>#REF!</v>
      </c>
      <c r="O377" s="150" t="s">
        <v>412</v>
      </c>
      <c r="P377" s="150" t="s">
        <v>428</v>
      </c>
      <c r="Q377" s="150" t="s">
        <v>399</v>
      </c>
      <c r="R377" t="e">
        <f t="shared" ca="1" si="76"/>
        <v>#REF!</v>
      </c>
      <c r="S377" t="s">
        <v>398</v>
      </c>
      <c r="T377" t="s">
        <v>448</v>
      </c>
      <c r="U377" t="str">
        <f t="shared" ca="1" si="68"/>
        <v>Sheets("Master Data").Range("0" &amp; RowNo).Value</v>
      </c>
      <c r="V377" t="e">
        <f t="shared" ca="1" si="77"/>
        <v>#REF!</v>
      </c>
      <c r="X377" t="e">
        <f t="shared" ca="1" si="69"/>
        <v>#REF!</v>
      </c>
      <c r="Z377" t="e">
        <f t="shared" ca="1" si="70"/>
        <v>#REF!</v>
      </c>
      <c r="AB377" t="e">
        <f t="shared" ca="1" si="78"/>
        <v>#REF!</v>
      </c>
      <c r="AD377" t="e">
        <f t="shared" ca="1" si="79"/>
        <v>#REF!</v>
      </c>
    </row>
    <row r="378" spans="1:30" x14ac:dyDescent="0.3">
      <c r="A378" s="150">
        <v>371</v>
      </c>
      <c r="B378" s="150" t="str">
        <f t="shared" si="71"/>
        <v>NG1</v>
      </c>
      <c r="D378" t="s">
        <v>416</v>
      </c>
      <c r="E378">
        <f t="shared" ca="1" si="72"/>
        <v>0</v>
      </c>
      <c r="F378" t="e">
        <f t="shared" ca="1" si="80"/>
        <v>#REF!</v>
      </c>
      <c r="G378" t="s">
        <v>417</v>
      </c>
      <c r="H378" t="s">
        <v>421</v>
      </c>
      <c r="I378" t="e">
        <f t="shared" ca="1" si="73"/>
        <v>#REF!</v>
      </c>
      <c r="J378" t="e">
        <f t="shared" ca="1" si="74"/>
        <v>#REF!</v>
      </c>
      <c r="K378" t="s">
        <v>431</v>
      </c>
      <c r="L378" s="150" t="s">
        <v>423</v>
      </c>
      <c r="M378" s="150" t="s">
        <v>435</v>
      </c>
      <c r="N378" t="e">
        <f t="shared" ca="1" si="75"/>
        <v>#REF!</v>
      </c>
      <c r="O378" s="150" t="s">
        <v>412</v>
      </c>
      <c r="P378" s="150" t="s">
        <v>428</v>
      </c>
      <c r="Q378" s="150" t="s">
        <v>399</v>
      </c>
      <c r="R378" t="e">
        <f t="shared" ca="1" si="76"/>
        <v>#REF!</v>
      </c>
      <c r="S378" t="s">
        <v>398</v>
      </c>
      <c r="T378" t="s">
        <v>448</v>
      </c>
      <c r="U378" t="str">
        <f t="shared" ca="1" si="68"/>
        <v>Sheets("Master Data").Range("0" &amp; RowNo).Value</v>
      </c>
      <c r="V378" t="e">
        <f t="shared" ca="1" si="77"/>
        <v>#REF!</v>
      </c>
      <c r="X378" t="e">
        <f t="shared" ca="1" si="69"/>
        <v>#REF!</v>
      </c>
      <c r="Z378" t="e">
        <f t="shared" ca="1" si="70"/>
        <v>#REF!</v>
      </c>
      <c r="AB378" t="e">
        <f t="shared" ca="1" si="78"/>
        <v>#REF!</v>
      </c>
      <c r="AD378" t="e">
        <f t="shared" ca="1" si="79"/>
        <v>#REF!</v>
      </c>
    </row>
    <row r="379" spans="1:30" x14ac:dyDescent="0.3">
      <c r="A379" s="150">
        <v>372</v>
      </c>
      <c r="B379" s="150" t="str">
        <f t="shared" si="71"/>
        <v>NH1</v>
      </c>
      <c r="D379" t="s">
        <v>416</v>
      </c>
      <c r="E379">
        <f t="shared" ca="1" si="72"/>
        <v>0</v>
      </c>
      <c r="F379" t="e">
        <f t="shared" ca="1" si="80"/>
        <v>#REF!</v>
      </c>
      <c r="G379" t="s">
        <v>417</v>
      </c>
      <c r="H379" t="s">
        <v>421</v>
      </c>
      <c r="I379" t="e">
        <f t="shared" ca="1" si="73"/>
        <v>#REF!</v>
      </c>
      <c r="J379" t="e">
        <f t="shared" ca="1" si="74"/>
        <v>#REF!</v>
      </c>
      <c r="K379" t="s">
        <v>431</v>
      </c>
      <c r="L379" s="150" t="s">
        <v>423</v>
      </c>
      <c r="M379" s="150" t="s">
        <v>435</v>
      </c>
      <c r="N379" t="e">
        <f t="shared" ca="1" si="75"/>
        <v>#REF!</v>
      </c>
      <c r="O379" s="150" t="s">
        <v>412</v>
      </c>
      <c r="P379" s="150" t="s">
        <v>428</v>
      </c>
      <c r="Q379" s="150" t="s">
        <v>399</v>
      </c>
      <c r="R379" t="e">
        <f t="shared" ca="1" si="76"/>
        <v>#REF!</v>
      </c>
      <c r="S379" t="s">
        <v>398</v>
      </c>
      <c r="T379" t="s">
        <v>448</v>
      </c>
      <c r="U379" t="str">
        <f t="shared" ca="1" si="68"/>
        <v>Sheets("Master Data").Range("0" &amp; RowNo).Value</v>
      </c>
      <c r="V379" t="e">
        <f t="shared" ca="1" si="77"/>
        <v>#REF!</v>
      </c>
      <c r="X379" t="e">
        <f t="shared" ca="1" si="69"/>
        <v>#REF!</v>
      </c>
      <c r="Z379" t="e">
        <f t="shared" ca="1" si="70"/>
        <v>#REF!</v>
      </c>
      <c r="AB379" t="e">
        <f t="shared" ca="1" si="78"/>
        <v>#REF!</v>
      </c>
      <c r="AD379" t="e">
        <f t="shared" ca="1" si="79"/>
        <v>#REF!</v>
      </c>
    </row>
    <row r="380" spans="1:30" x14ac:dyDescent="0.3">
      <c r="A380" s="150">
        <v>373</v>
      </c>
      <c r="B380" s="150" t="str">
        <f t="shared" si="71"/>
        <v>NI1</v>
      </c>
      <c r="D380" t="s">
        <v>416</v>
      </c>
      <c r="E380">
        <f t="shared" ca="1" si="72"/>
        <v>0</v>
      </c>
      <c r="F380" t="e">
        <f t="shared" ca="1" si="80"/>
        <v>#REF!</v>
      </c>
      <c r="G380" t="s">
        <v>417</v>
      </c>
      <c r="H380" t="s">
        <v>421</v>
      </c>
      <c r="I380" t="e">
        <f t="shared" ca="1" si="73"/>
        <v>#REF!</v>
      </c>
      <c r="J380" t="e">
        <f t="shared" ca="1" si="74"/>
        <v>#REF!</v>
      </c>
      <c r="K380" t="s">
        <v>431</v>
      </c>
      <c r="L380" s="150" t="s">
        <v>423</v>
      </c>
      <c r="M380" s="150" t="s">
        <v>435</v>
      </c>
      <c r="N380" t="e">
        <f t="shared" ca="1" si="75"/>
        <v>#REF!</v>
      </c>
      <c r="O380" s="150" t="s">
        <v>412</v>
      </c>
      <c r="P380" s="150" t="s">
        <v>428</v>
      </c>
      <c r="Q380" s="150" t="s">
        <v>399</v>
      </c>
      <c r="R380" t="e">
        <f t="shared" ca="1" si="76"/>
        <v>#REF!</v>
      </c>
      <c r="S380" t="s">
        <v>398</v>
      </c>
      <c r="T380" t="s">
        <v>448</v>
      </c>
      <c r="U380" t="str">
        <f t="shared" ca="1" si="68"/>
        <v>Sheets("Master Data").Range("0" &amp; RowNo).Value</v>
      </c>
      <c r="V380" t="e">
        <f t="shared" ca="1" si="77"/>
        <v>#REF!</v>
      </c>
      <c r="X380" t="e">
        <f t="shared" ca="1" si="69"/>
        <v>#REF!</v>
      </c>
      <c r="Z380" t="e">
        <f t="shared" ca="1" si="70"/>
        <v>#REF!</v>
      </c>
      <c r="AB380" t="e">
        <f t="shared" ca="1" si="78"/>
        <v>#REF!</v>
      </c>
      <c r="AD380" t="e">
        <f t="shared" ca="1" si="79"/>
        <v>#REF!</v>
      </c>
    </row>
    <row r="381" spans="1:30" x14ac:dyDescent="0.3">
      <c r="A381" s="150">
        <v>374</v>
      </c>
      <c r="B381" s="150" t="str">
        <f t="shared" si="71"/>
        <v>NJ1</v>
      </c>
      <c r="D381" t="s">
        <v>416</v>
      </c>
      <c r="E381">
        <f t="shared" ca="1" si="72"/>
        <v>0</v>
      </c>
      <c r="F381" t="e">
        <f t="shared" ca="1" si="80"/>
        <v>#REF!</v>
      </c>
      <c r="G381" t="s">
        <v>417</v>
      </c>
      <c r="H381" t="s">
        <v>421</v>
      </c>
      <c r="I381" t="e">
        <f t="shared" ca="1" si="73"/>
        <v>#REF!</v>
      </c>
      <c r="J381" t="e">
        <f t="shared" ca="1" si="74"/>
        <v>#REF!</v>
      </c>
      <c r="K381" t="s">
        <v>431</v>
      </c>
      <c r="L381" s="150" t="s">
        <v>423</v>
      </c>
      <c r="M381" s="150" t="s">
        <v>435</v>
      </c>
      <c r="N381" t="e">
        <f t="shared" ca="1" si="75"/>
        <v>#REF!</v>
      </c>
      <c r="O381" s="150" t="s">
        <v>412</v>
      </c>
      <c r="P381" s="150" t="s">
        <v>428</v>
      </c>
      <c r="Q381" s="150" t="s">
        <v>399</v>
      </c>
      <c r="R381" t="e">
        <f t="shared" ca="1" si="76"/>
        <v>#REF!</v>
      </c>
      <c r="S381" t="s">
        <v>398</v>
      </c>
      <c r="T381" t="s">
        <v>448</v>
      </c>
      <c r="U381" t="str">
        <f t="shared" ca="1" si="68"/>
        <v>Sheets("Master Data").Range("0" &amp; RowNo).Value</v>
      </c>
      <c r="V381" t="e">
        <f t="shared" ca="1" si="77"/>
        <v>#REF!</v>
      </c>
      <c r="X381" t="e">
        <f t="shared" ca="1" si="69"/>
        <v>#REF!</v>
      </c>
      <c r="Z381" t="e">
        <f t="shared" ca="1" si="70"/>
        <v>#REF!</v>
      </c>
      <c r="AB381" t="e">
        <f t="shared" ca="1" si="78"/>
        <v>#REF!</v>
      </c>
      <c r="AD381" t="e">
        <f t="shared" ca="1" si="79"/>
        <v>#REF!</v>
      </c>
    </row>
    <row r="382" spans="1:30" x14ac:dyDescent="0.3">
      <c r="A382" s="150">
        <v>375</v>
      </c>
      <c r="B382" s="150" t="str">
        <f t="shared" si="71"/>
        <v>NK1</v>
      </c>
      <c r="D382" t="s">
        <v>416</v>
      </c>
      <c r="E382">
        <f t="shared" ca="1" si="72"/>
        <v>0</v>
      </c>
      <c r="F382" t="e">
        <f t="shared" ca="1" si="80"/>
        <v>#REF!</v>
      </c>
      <c r="G382" t="s">
        <v>417</v>
      </c>
      <c r="H382" t="s">
        <v>421</v>
      </c>
      <c r="I382" t="e">
        <f t="shared" ca="1" si="73"/>
        <v>#REF!</v>
      </c>
      <c r="J382" t="e">
        <f t="shared" ca="1" si="74"/>
        <v>#REF!</v>
      </c>
      <c r="K382" t="s">
        <v>431</v>
      </c>
      <c r="L382" s="150" t="s">
        <v>423</v>
      </c>
      <c r="M382" s="150" t="s">
        <v>435</v>
      </c>
      <c r="N382" t="e">
        <f t="shared" ca="1" si="75"/>
        <v>#REF!</v>
      </c>
      <c r="O382" s="150" t="s">
        <v>412</v>
      </c>
      <c r="P382" s="150" t="s">
        <v>428</v>
      </c>
      <c r="Q382" s="150" t="s">
        <v>399</v>
      </c>
      <c r="R382" t="e">
        <f t="shared" ca="1" si="76"/>
        <v>#REF!</v>
      </c>
      <c r="S382" t="s">
        <v>398</v>
      </c>
      <c r="T382" t="s">
        <v>448</v>
      </c>
      <c r="U382" t="str">
        <f t="shared" ca="1" si="68"/>
        <v>Sheets("Master Data").Range("0" &amp; RowNo).Value</v>
      </c>
      <c r="V382" t="e">
        <f t="shared" ca="1" si="77"/>
        <v>#REF!</v>
      </c>
      <c r="X382" t="e">
        <f t="shared" ca="1" si="69"/>
        <v>#REF!</v>
      </c>
      <c r="Z382" t="e">
        <f t="shared" ca="1" si="70"/>
        <v>#REF!</v>
      </c>
      <c r="AB382" t="e">
        <f t="shared" ca="1" si="78"/>
        <v>#REF!</v>
      </c>
      <c r="AD382" t="e">
        <f t="shared" ca="1" si="79"/>
        <v>#REF!</v>
      </c>
    </row>
    <row r="383" spans="1:30" x14ac:dyDescent="0.3">
      <c r="A383" s="150">
        <v>376</v>
      </c>
      <c r="B383" s="150" t="str">
        <f t="shared" si="71"/>
        <v>NL1</v>
      </c>
      <c r="D383" t="s">
        <v>416</v>
      </c>
      <c r="E383">
        <f t="shared" ca="1" si="72"/>
        <v>0</v>
      </c>
      <c r="F383" t="e">
        <f t="shared" ca="1" si="80"/>
        <v>#REF!</v>
      </c>
      <c r="G383" t="s">
        <v>417</v>
      </c>
      <c r="H383" t="s">
        <v>421</v>
      </c>
      <c r="I383" t="e">
        <f t="shared" ca="1" si="73"/>
        <v>#REF!</v>
      </c>
      <c r="J383" t="e">
        <f t="shared" ca="1" si="74"/>
        <v>#REF!</v>
      </c>
      <c r="K383" t="s">
        <v>431</v>
      </c>
      <c r="L383" s="150" t="s">
        <v>423</v>
      </c>
      <c r="M383" s="150" t="s">
        <v>435</v>
      </c>
      <c r="N383" t="e">
        <f t="shared" ca="1" si="75"/>
        <v>#REF!</v>
      </c>
      <c r="O383" s="150" t="s">
        <v>412</v>
      </c>
      <c r="P383" s="150" t="s">
        <v>428</v>
      </c>
      <c r="Q383" s="150" t="s">
        <v>399</v>
      </c>
      <c r="R383" t="e">
        <f t="shared" ca="1" si="76"/>
        <v>#REF!</v>
      </c>
      <c r="S383" t="s">
        <v>398</v>
      </c>
      <c r="T383" t="s">
        <v>448</v>
      </c>
      <c r="U383" t="str">
        <f t="shared" ca="1" si="68"/>
        <v>Sheets("Master Data").Range("0" &amp; RowNo).Value</v>
      </c>
      <c r="V383" t="e">
        <f t="shared" ca="1" si="77"/>
        <v>#REF!</v>
      </c>
      <c r="X383" t="e">
        <f t="shared" ca="1" si="69"/>
        <v>#REF!</v>
      </c>
      <c r="Z383" t="e">
        <f t="shared" ca="1" si="70"/>
        <v>#REF!</v>
      </c>
      <c r="AB383" t="e">
        <f t="shared" ca="1" si="78"/>
        <v>#REF!</v>
      </c>
      <c r="AD383" t="e">
        <f t="shared" ca="1" si="79"/>
        <v>#REF!</v>
      </c>
    </row>
    <row r="384" spans="1:30" x14ac:dyDescent="0.3">
      <c r="A384" s="150">
        <v>377</v>
      </c>
      <c r="B384" s="150" t="str">
        <f t="shared" si="71"/>
        <v>NM1</v>
      </c>
      <c r="D384" t="s">
        <v>416</v>
      </c>
      <c r="E384">
        <f t="shared" ca="1" si="72"/>
        <v>0</v>
      </c>
      <c r="F384" t="e">
        <f t="shared" ca="1" si="80"/>
        <v>#REF!</v>
      </c>
      <c r="G384" t="s">
        <v>417</v>
      </c>
      <c r="H384" t="s">
        <v>421</v>
      </c>
      <c r="I384" t="e">
        <f t="shared" ca="1" si="73"/>
        <v>#REF!</v>
      </c>
      <c r="J384" t="e">
        <f t="shared" ca="1" si="74"/>
        <v>#REF!</v>
      </c>
      <c r="K384" t="s">
        <v>431</v>
      </c>
      <c r="L384" s="150" t="s">
        <v>423</v>
      </c>
      <c r="M384" s="150" t="s">
        <v>435</v>
      </c>
      <c r="N384" t="e">
        <f t="shared" ca="1" si="75"/>
        <v>#REF!</v>
      </c>
      <c r="O384" s="150" t="s">
        <v>412</v>
      </c>
      <c r="P384" s="150" t="s">
        <v>428</v>
      </c>
      <c r="Q384" s="150" t="s">
        <v>399</v>
      </c>
      <c r="R384" t="e">
        <f t="shared" ca="1" si="76"/>
        <v>#REF!</v>
      </c>
      <c r="S384" t="s">
        <v>398</v>
      </c>
      <c r="T384" t="s">
        <v>448</v>
      </c>
      <c r="U384" t="str">
        <f t="shared" ca="1" si="68"/>
        <v>Sheets("Master Data").Range("0" &amp; RowNo).Value</v>
      </c>
      <c r="V384" t="e">
        <f t="shared" ca="1" si="77"/>
        <v>#REF!</v>
      </c>
      <c r="X384" t="e">
        <f t="shared" ca="1" si="69"/>
        <v>#REF!</v>
      </c>
      <c r="Z384" t="e">
        <f t="shared" ca="1" si="70"/>
        <v>#REF!</v>
      </c>
      <c r="AB384" t="e">
        <f t="shared" ca="1" si="78"/>
        <v>#REF!</v>
      </c>
      <c r="AD384" t="e">
        <f t="shared" ca="1" si="79"/>
        <v>#REF!</v>
      </c>
    </row>
    <row r="385" spans="1:30" x14ac:dyDescent="0.3">
      <c r="A385" s="150">
        <v>378</v>
      </c>
      <c r="B385" s="150" t="str">
        <f t="shared" si="71"/>
        <v>NN1</v>
      </c>
      <c r="D385" t="s">
        <v>416</v>
      </c>
      <c r="E385">
        <f t="shared" ca="1" si="72"/>
        <v>0</v>
      </c>
      <c r="F385" t="e">
        <f t="shared" ca="1" si="80"/>
        <v>#REF!</v>
      </c>
      <c r="G385" t="s">
        <v>417</v>
      </c>
      <c r="H385" t="s">
        <v>421</v>
      </c>
      <c r="I385" t="e">
        <f t="shared" ca="1" si="73"/>
        <v>#REF!</v>
      </c>
      <c r="J385" t="e">
        <f t="shared" ca="1" si="74"/>
        <v>#REF!</v>
      </c>
      <c r="K385" t="s">
        <v>431</v>
      </c>
      <c r="L385" s="150" t="s">
        <v>423</v>
      </c>
      <c r="M385" s="150" t="s">
        <v>435</v>
      </c>
      <c r="N385" t="e">
        <f t="shared" ca="1" si="75"/>
        <v>#REF!</v>
      </c>
      <c r="O385" s="150" t="s">
        <v>412</v>
      </c>
      <c r="P385" s="150" t="s">
        <v>428</v>
      </c>
      <c r="Q385" s="150" t="s">
        <v>399</v>
      </c>
      <c r="R385" t="e">
        <f t="shared" ca="1" si="76"/>
        <v>#REF!</v>
      </c>
      <c r="S385" t="s">
        <v>398</v>
      </c>
      <c r="T385" t="s">
        <v>448</v>
      </c>
      <c r="U385" t="str">
        <f t="shared" ca="1" si="68"/>
        <v>Sheets("Master Data").Range("0" &amp; RowNo).Value</v>
      </c>
      <c r="V385" t="e">
        <f t="shared" ca="1" si="77"/>
        <v>#REF!</v>
      </c>
      <c r="X385" t="e">
        <f t="shared" ca="1" si="69"/>
        <v>#REF!</v>
      </c>
      <c r="Z385" t="e">
        <f t="shared" ca="1" si="70"/>
        <v>#REF!</v>
      </c>
      <c r="AB385" t="e">
        <f t="shared" ca="1" si="78"/>
        <v>#REF!</v>
      </c>
      <c r="AD385" t="e">
        <f t="shared" ca="1" si="79"/>
        <v>#REF!</v>
      </c>
    </row>
    <row r="386" spans="1:30" x14ac:dyDescent="0.3">
      <c r="A386" s="150">
        <v>379</v>
      </c>
      <c r="B386" s="150" t="str">
        <f t="shared" si="71"/>
        <v>NO1</v>
      </c>
      <c r="D386" t="s">
        <v>416</v>
      </c>
      <c r="E386">
        <f t="shared" ca="1" si="72"/>
        <v>0</v>
      </c>
      <c r="F386" t="e">
        <f t="shared" ca="1" si="80"/>
        <v>#REF!</v>
      </c>
      <c r="G386" t="s">
        <v>417</v>
      </c>
      <c r="H386" t="s">
        <v>421</v>
      </c>
      <c r="I386" t="e">
        <f t="shared" ca="1" si="73"/>
        <v>#REF!</v>
      </c>
      <c r="J386" t="e">
        <f t="shared" ca="1" si="74"/>
        <v>#REF!</v>
      </c>
      <c r="K386" t="s">
        <v>431</v>
      </c>
      <c r="L386" s="150" t="s">
        <v>423</v>
      </c>
      <c r="M386" s="150" t="s">
        <v>435</v>
      </c>
      <c r="N386" t="e">
        <f t="shared" ca="1" si="75"/>
        <v>#REF!</v>
      </c>
      <c r="O386" s="150" t="s">
        <v>412</v>
      </c>
      <c r="P386" s="150" t="s">
        <v>428</v>
      </c>
      <c r="Q386" s="150" t="s">
        <v>399</v>
      </c>
      <c r="R386" t="e">
        <f t="shared" ca="1" si="76"/>
        <v>#REF!</v>
      </c>
      <c r="S386" t="s">
        <v>398</v>
      </c>
      <c r="T386" t="s">
        <v>448</v>
      </c>
      <c r="U386" t="str">
        <f t="shared" ca="1" si="68"/>
        <v>Sheets("Master Data").Range("0" &amp; RowNo).Value</v>
      </c>
      <c r="V386" t="e">
        <f t="shared" ca="1" si="77"/>
        <v>#REF!</v>
      </c>
      <c r="X386" t="e">
        <f t="shared" ca="1" si="69"/>
        <v>#REF!</v>
      </c>
      <c r="Z386" t="e">
        <f t="shared" ca="1" si="70"/>
        <v>#REF!</v>
      </c>
      <c r="AB386" t="e">
        <f t="shared" ca="1" si="78"/>
        <v>#REF!</v>
      </c>
      <c r="AD386" t="e">
        <f t="shared" ca="1" si="79"/>
        <v>#REF!</v>
      </c>
    </row>
    <row r="387" spans="1:30" x14ac:dyDescent="0.3">
      <c r="A387" s="150">
        <v>380</v>
      </c>
      <c r="B387" s="150" t="str">
        <f t="shared" si="71"/>
        <v>NP1</v>
      </c>
      <c r="D387" t="s">
        <v>416</v>
      </c>
      <c r="E387">
        <f t="shared" ca="1" si="72"/>
        <v>0</v>
      </c>
      <c r="F387" t="e">
        <f t="shared" ca="1" si="80"/>
        <v>#REF!</v>
      </c>
      <c r="G387" t="s">
        <v>417</v>
      </c>
      <c r="H387" t="s">
        <v>421</v>
      </c>
      <c r="I387" t="e">
        <f t="shared" ca="1" si="73"/>
        <v>#REF!</v>
      </c>
      <c r="J387" t="e">
        <f t="shared" ca="1" si="74"/>
        <v>#REF!</v>
      </c>
      <c r="K387" t="s">
        <v>431</v>
      </c>
      <c r="L387" s="150" t="s">
        <v>423</v>
      </c>
      <c r="M387" s="150" t="s">
        <v>435</v>
      </c>
      <c r="N387" t="e">
        <f t="shared" ca="1" si="75"/>
        <v>#REF!</v>
      </c>
      <c r="O387" s="150" t="s">
        <v>412</v>
      </c>
      <c r="P387" s="150" t="s">
        <v>428</v>
      </c>
      <c r="Q387" s="150" t="s">
        <v>399</v>
      </c>
      <c r="R387" t="e">
        <f t="shared" ca="1" si="76"/>
        <v>#REF!</v>
      </c>
      <c r="S387" t="s">
        <v>398</v>
      </c>
      <c r="T387" t="s">
        <v>448</v>
      </c>
      <c r="U387" t="str">
        <f t="shared" ca="1" si="68"/>
        <v>Sheets("Master Data").Range("0" &amp; RowNo).Value</v>
      </c>
      <c r="V387" t="e">
        <f t="shared" ca="1" si="77"/>
        <v>#REF!</v>
      </c>
      <c r="X387" t="e">
        <f t="shared" ca="1" si="69"/>
        <v>#REF!</v>
      </c>
      <c r="Z387" t="e">
        <f t="shared" ca="1" si="70"/>
        <v>#REF!</v>
      </c>
      <c r="AB387" t="e">
        <f t="shared" ca="1" si="78"/>
        <v>#REF!</v>
      </c>
      <c r="AD387" t="e">
        <f t="shared" ca="1" si="79"/>
        <v>#REF!</v>
      </c>
    </row>
    <row r="388" spans="1:30" x14ac:dyDescent="0.3">
      <c r="A388" s="150">
        <v>381</v>
      </c>
      <c r="B388" s="150" t="str">
        <f t="shared" si="71"/>
        <v>NQ1</v>
      </c>
      <c r="D388" t="s">
        <v>416</v>
      </c>
      <c r="E388">
        <f t="shared" ca="1" si="72"/>
        <v>0</v>
      </c>
      <c r="F388" t="e">
        <f t="shared" ca="1" si="80"/>
        <v>#REF!</v>
      </c>
      <c r="G388" t="s">
        <v>417</v>
      </c>
      <c r="H388" t="s">
        <v>421</v>
      </c>
      <c r="I388" t="e">
        <f t="shared" ca="1" si="73"/>
        <v>#REF!</v>
      </c>
      <c r="J388" t="e">
        <f t="shared" ca="1" si="74"/>
        <v>#REF!</v>
      </c>
      <c r="K388" t="s">
        <v>431</v>
      </c>
      <c r="L388" s="150" t="s">
        <v>423</v>
      </c>
      <c r="M388" s="150" t="s">
        <v>435</v>
      </c>
      <c r="N388" t="e">
        <f t="shared" ca="1" si="75"/>
        <v>#REF!</v>
      </c>
      <c r="O388" s="150" t="s">
        <v>412</v>
      </c>
      <c r="P388" s="150" t="s">
        <v>428</v>
      </c>
      <c r="Q388" s="150" t="s">
        <v>399</v>
      </c>
      <c r="R388" t="e">
        <f t="shared" ca="1" si="76"/>
        <v>#REF!</v>
      </c>
      <c r="S388" t="s">
        <v>398</v>
      </c>
      <c r="T388" t="s">
        <v>448</v>
      </c>
      <c r="U388" t="str">
        <f t="shared" ca="1" si="68"/>
        <v>Sheets("Master Data").Range("0" &amp; RowNo).Value</v>
      </c>
      <c r="V388" t="e">
        <f t="shared" ca="1" si="77"/>
        <v>#REF!</v>
      </c>
      <c r="X388" t="e">
        <f t="shared" ca="1" si="69"/>
        <v>#REF!</v>
      </c>
      <c r="Z388" t="e">
        <f t="shared" ca="1" si="70"/>
        <v>#REF!</v>
      </c>
      <c r="AB388" t="e">
        <f t="shared" ca="1" si="78"/>
        <v>#REF!</v>
      </c>
      <c r="AD388" t="e">
        <f t="shared" ca="1" si="79"/>
        <v>#REF!</v>
      </c>
    </row>
    <row r="389" spans="1:30" x14ac:dyDescent="0.3">
      <c r="A389" s="150">
        <v>382</v>
      </c>
      <c r="B389" s="150" t="str">
        <f t="shared" si="71"/>
        <v>NR1</v>
      </c>
      <c r="D389" t="s">
        <v>416</v>
      </c>
      <c r="E389">
        <f t="shared" ca="1" si="72"/>
        <v>0</v>
      </c>
      <c r="F389" t="e">
        <f t="shared" ca="1" si="80"/>
        <v>#REF!</v>
      </c>
      <c r="G389" t="s">
        <v>417</v>
      </c>
      <c r="H389" t="s">
        <v>421</v>
      </c>
      <c r="I389" t="e">
        <f t="shared" ca="1" si="73"/>
        <v>#REF!</v>
      </c>
      <c r="J389" t="e">
        <f t="shared" ca="1" si="74"/>
        <v>#REF!</v>
      </c>
      <c r="K389" t="s">
        <v>431</v>
      </c>
      <c r="L389" s="150" t="s">
        <v>423</v>
      </c>
      <c r="M389" s="150" t="s">
        <v>435</v>
      </c>
      <c r="N389" t="e">
        <f t="shared" ca="1" si="75"/>
        <v>#REF!</v>
      </c>
      <c r="O389" s="150" t="s">
        <v>412</v>
      </c>
      <c r="P389" s="150" t="s">
        <v>428</v>
      </c>
      <c r="Q389" s="150" t="s">
        <v>399</v>
      </c>
      <c r="R389" t="e">
        <f t="shared" ca="1" si="76"/>
        <v>#REF!</v>
      </c>
      <c r="S389" t="s">
        <v>398</v>
      </c>
      <c r="T389" t="s">
        <v>448</v>
      </c>
      <c r="U389" t="str">
        <f t="shared" ca="1" si="68"/>
        <v>Sheets("Master Data").Range("0" &amp; RowNo).Value</v>
      </c>
      <c r="V389" t="e">
        <f t="shared" ca="1" si="77"/>
        <v>#REF!</v>
      </c>
      <c r="X389" t="e">
        <f t="shared" ca="1" si="69"/>
        <v>#REF!</v>
      </c>
      <c r="Z389" t="e">
        <f t="shared" ca="1" si="70"/>
        <v>#REF!</v>
      </c>
      <c r="AB389" t="e">
        <f t="shared" ca="1" si="78"/>
        <v>#REF!</v>
      </c>
      <c r="AD389" t="e">
        <f t="shared" ca="1" si="79"/>
        <v>#REF!</v>
      </c>
    </row>
    <row r="390" spans="1:30" x14ac:dyDescent="0.3">
      <c r="A390" s="150">
        <v>383</v>
      </c>
      <c r="B390" s="150" t="str">
        <f t="shared" si="71"/>
        <v>NS1</v>
      </c>
      <c r="D390" t="s">
        <v>416</v>
      </c>
      <c r="E390">
        <f t="shared" ca="1" si="72"/>
        <v>0</v>
      </c>
      <c r="F390" t="e">
        <f t="shared" ca="1" si="80"/>
        <v>#REF!</v>
      </c>
      <c r="G390" t="s">
        <v>417</v>
      </c>
      <c r="H390" t="s">
        <v>421</v>
      </c>
      <c r="I390" t="e">
        <f t="shared" ca="1" si="73"/>
        <v>#REF!</v>
      </c>
      <c r="J390" t="e">
        <f t="shared" ca="1" si="74"/>
        <v>#REF!</v>
      </c>
      <c r="K390" t="s">
        <v>431</v>
      </c>
      <c r="L390" s="150" t="s">
        <v>423</v>
      </c>
      <c r="M390" s="150" t="s">
        <v>435</v>
      </c>
      <c r="N390" t="e">
        <f t="shared" ca="1" si="75"/>
        <v>#REF!</v>
      </c>
      <c r="O390" s="150" t="s">
        <v>412</v>
      </c>
      <c r="P390" s="150" t="s">
        <v>428</v>
      </c>
      <c r="Q390" s="150" t="s">
        <v>399</v>
      </c>
      <c r="R390" t="e">
        <f t="shared" ca="1" si="76"/>
        <v>#REF!</v>
      </c>
      <c r="S390" t="s">
        <v>398</v>
      </c>
      <c r="T390" t="s">
        <v>448</v>
      </c>
      <c r="U390" t="str">
        <f t="shared" ca="1" si="68"/>
        <v>Sheets("Master Data").Range("0" &amp; RowNo).Value</v>
      </c>
      <c r="V390" t="e">
        <f t="shared" ca="1" si="77"/>
        <v>#REF!</v>
      </c>
      <c r="X390" t="e">
        <f t="shared" ca="1" si="69"/>
        <v>#REF!</v>
      </c>
      <c r="Z390" t="e">
        <f t="shared" ca="1" si="70"/>
        <v>#REF!</v>
      </c>
      <c r="AB390" t="e">
        <f t="shared" ca="1" si="78"/>
        <v>#REF!</v>
      </c>
      <c r="AD390" t="e">
        <f t="shared" ca="1" si="79"/>
        <v>#REF!</v>
      </c>
    </row>
    <row r="391" spans="1:30" x14ac:dyDescent="0.3">
      <c r="A391" s="150">
        <v>384</v>
      </c>
      <c r="B391" s="150" t="str">
        <f t="shared" si="71"/>
        <v>NT1</v>
      </c>
      <c r="D391" t="s">
        <v>416</v>
      </c>
      <c r="E391">
        <f t="shared" ca="1" si="72"/>
        <v>0</v>
      </c>
      <c r="F391" t="e">
        <f t="shared" ca="1" si="80"/>
        <v>#REF!</v>
      </c>
      <c r="G391" t="s">
        <v>417</v>
      </c>
      <c r="H391" t="s">
        <v>421</v>
      </c>
      <c r="I391" t="e">
        <f t="shared" ca="1" si="73"/>
        <v>#REF!</v>
      </c>
      <c r="J391" t="e">
        <f t="shared" ca="1" si="74"/>
        <v>#REF!</v>
      </c>
      <c r="K391" t="s">
        <v>431</v>
      </c>
      <c r="L391" s="150" t="s">
        <v>423</v>
      </c>
      <c r="M391" s="150" t="s">
        <v>435</v>
      </c>
      <c r="N391" t="e">
        <f t="shared" ca="1" si="75"/>
        <v>#REF!</v>
      </c>
      <c r="O391" s="150" t="s">
        <v>412</v>
      </c>
      <c r="P391" s="150" t="s">
        <v>428</v>
      </c>
      <c r="Q391" s="150" t="s">
        <v>399</v>
      </c>
      <c r="R391" t="e">
        <f t="shared" ca="1" si="76"/>
        <v>#REF!</v>
      </c>
      <c r="S391" t="s">
        <v>398</v>
      </c>
      <c r="T391" t="s">
        <v>448</v>
      </c>
      <c r="U391" t="str">
        <f t="shared" ca="1" si="68"/>
        <v>Sheets("Master Data").Range("0" &amp; RowNo).Value</v>
      </c>
      <c r="V391" t="e">
        <f t="shared" ca="1" si="77"/>
        <v>#REF!</v>
      </c>
      <c r="X391" t="e">
        <f t="shared" ca="1" si="69"/>
        <v>#REF!</v>
      </c>
      <c r="Z391" t="e">
        <f t="shared" ca="1" si="70"/>
        <v>#REF!</v>
      </c>
      <c r="AB391" t="e">
        <f t="shared" ca="1" si="78"/>
        <v>#REF!</v>
      </c>
      <c r="AD391" t="e">
        <f t="shared" ca="1" si="79"/>
        <v>#REF!</v>
      </c>
    </row>
    <row r="392" spans="1:30" x14ac:dyDescent="0.3">
      <c r="A392" s="150">
        <v>385</v>
      </c>
      <c r="B392" s="150" t="str">
        <f t="shared" si="71"/>
        <v>NU1</v>
      </c>
      <c r="D392" t="s">
        <v>416</v>
      </c>
      <c r="E392">
        <f t="shared" ca="1" si="72"/>
        <v>0</v>
      </c>
      <c r="F392" t="e">
        <f t="shared" ca="1" si="80"/>
        <v>#REF!</v>
      </c>
      <c r="G392" t="s">
        <v>417</v>
      </c>
      <c r="H392" t="s">
        <v>421</v>
      </c>
      <c r="I392" t="e">
        <f t="shared" ca="1" si="73"/>
        <v>#REF!</v>
      </c>
      <c r="J392" t="e">
        <f t="shared" ca="1" si="74"/>
        <v>#REF!</v>
      </c>
      <c r="K392" t="s">
        <v>431</v>
      </c>
      <c r="L392" s="150" t="s">
        <v>423</v>
      </c>
      <c r="M392" s="150" t="s">
        <v>435</v>
      </c>
      <c r="N392" t="e">
        <f t="shared" ca="1" si="75"/>
        <v>#REF!</v>
      </c>
      <c r="O392" s="150" t="s">
        <v>412</v>
      </c>
      <c r="P392" s="150" t="s">
        <v>428</v>
      </c>
      <c r="Q392" s="150" t="s">
        <v>399</v>
      </c>
      <c r="R392" t="e">
        <f t="shared" ca="1" si="76"/>
        <v>#REF!</v>
      </c>
      <c r="S392" t="s">
        <v>398</v>
      </c>
      <c r="T392" t="s">
        <v>448</v>
      </c>
      <c r="U392" t="str">
        <f t="shared" ref="U392:U455" ca="1" si="81">CONCATENATE(S392,L392,E392,L392,M392,K392,Q392)</f>
        <v>Sheets("Master Data").Range("0" &amp; RowNo).Value</v>
      </c>
      <c r="V392" t="e">
        <f t="shared" ca="1" si="77"/>
        <v>#REF!</v>
      </c>
      <c r="X392" t="e">
        <f t="shared" ref="X392:X455" ca="1" si="82">CONCATENATE(U392,O392,R392)</f>
        <v>#REF!</v>
      </c>
      <c r="Z392" t="e">
        <f t="shared" ref="Z392:Z455" ca="1" si="83">CONCATENATE(R392,O392,U392)</f>
        <v>#REF!</v>
      </c>
      <c r="AB392" t="e">
        <f t="shared" ca="1" si="78"/>
        <v>#REF!</v>
      </c>
      <c r="AD392" t="e">
        <f t="shared" ca="1" si="79"/>
        <v>#REF!</v>
      </c>
    </row>
    <row r="393" spans="1:30" x14ac:dyDescent="0.3">
      <c r="A393" s="150">
        <v>386</v>
      </c>
      <c r="B393" s="150" t="str">
        <f t="shared" ref="B393:B456" si="84">ADDRESS(1, A393, 4)</f>
        <v>NV1</v>
      </c>
      <c r="D393" t="s">
        <v>416</v>
      </c>
      <c r="E393">
        <f t="shared" ref="E393:E456" ca="1" si="85">INDIRECT("'Master Data'!" &amp; B393)</f>
        <v>0</v>
      </c>
      <c r="F393" t="e">
        <f t="shared" ca="1" si="80"/>
        <v>#REF!</v>
      </c>
      <c r="G393" t="s">
        <v>417</v>
      </c>
      <c r="H393" t="s">
        <v>421</v>
      </c>
      <c r="I393" t="e">
        <f t="shared" ref="I393:I456" ca="1" si="86">SUBSTITUTE(INDIRECT("'Master Data'!" &amp; E393 &amp; 2),"$","")</f>
        <v>#REF!</v>
      </c>
      <c r="J393" t="e">
        <f t="shared" ref="J393:J456" ca="1" si="87">SUBSTITUTE(INDIRECT("'Master Data'!" &amp; E393 &amp; 3),"$","")</f>
        <v>#REF!</v>
      </c>
      <c r="K393" t="s">
        <v>431</v>
      </c>
      <c r="L393" s="150" t="s">
        <v>423</v>
      </c>
      <c r="M393" s="150" t="s">
        <v>435</v>
      </c>
      <c r="N393" t="e">
        <f t="shared" ref="N393:N456" ca="1" si="88">INDIRECT("'Master Data'!" &amp; E393 &amp; 3)</f>
        <v>#REF!</v>
      </c>
      <c r="O393" s="150" t="s">
        <v>412</v>
      </c>
      <c r="P393" s="150" t="s">
        <v>428</v>
      </c>
      <c r="Q393" s="150" t="s">
        <v>399</v>
      </c>
      <c r="R393" t="e">
        <f t="shared" ref="R393:R456" ca="1" si="89">CONCATENATE(P393,L393,I393,L393,Q393)</f>
        <v>#REF!</v>
      </c>
      <c r="S393" t="s">
        <v>398</v>
      </c>
      <c r="T393" t="s">
        <v>448</v>
      </c>
      <c r="U393" t="str">
        <f t="shared" ca="1" si="81"/>
        <v>Sheets("Master Data").Range("0" &amp; RowNo).Value</v>
      </c>
      <c r="V393" t="e">
        <f t="shared" ref="V393:V456" ca="1" si="90">CONCATENATE(T393,L393,J393,L393,Q393)</f>
        <v>#REF!</v>
      </c>
      <c r="X393" t="e">
        <f t="shared" ca="1" si="82"/>
        <v>#REF!</v>
      </c>
      <c r="Z393" t="e">
        <f t="shared" ca="1" si="83"/>
        <v>#REF!</v>
      </c>
      <c r="AB393" t="e">
        <f t="shared" ref="AB393:AB456" ca="1" si="91">CONCATENATE(V393,O393,R393)</f>
        <v>#REF!</v>
      </c>
      <c r="AD393" t="e">
        <f t="shared" ca="1" si="79"/>
        <v>#REF!</v>
      </c>
    </row>
    <row r="394" spans="1:30" x14ac:dyDescent="0.3">
      <c r="A394" s="150">
        <v>387</v>
      </c>
      <c r="B394" s="150" t="str">
        <f t="shared" si="84"/>
        <v>NW1</v>
      </c>
      <c r="D394" t="s">
        <v>416</v>
      </c>
      <c r="E394">
        <f t="shared" ca="1" si="85"/>
        <v>0</v>
      </c>
      <c r="F394" t="e">
        <f t="shared" ca="1" si="80"/>
        <v>#REF!</v>
      </c>
      <c r="G394" t="s">
        <v>417</v>
      </c>
      <c r="H394" t="s">
        <v>421</v>
      </c>
      <c r="I394" t="e">
        <f t="shared" ca="1" si="86"/>
        <v>#REF!</v>
      </c>
      <c r="J394" t="e">
        <f t="shared" ca="1" si="87"/>
        <v>#REF!</v>
      </c>
      <c r="K394" t="s">
        <v>431</v>
      </c>
      <c r="L394" s="150" t="s">
        <v>423</v>
      </c>
      <c r="M394" s="150" t="s">
        <v>435</v>
      </c>
      <c r="N394" t="e">
        <f t="shared" ca="1" si="88"/>
        <v>#REF!</v>
      </c>
      <c r="O394" s="150" t="s">
        <v>412</v>
      </c>
      <c r="P394" s="150" t="s">
        <v>428</v>
      </c>
      <c r="Q394" s="150" t="s">
        <v>399</v>
      </c>
      <c r="R394" t="e">
        <f t="shared" ca="1" si="89"/>
        <v>#REF!</v>
      </c>
      <c r="S394" t="s">
        <v>398</v>
      </c>
      <c r="T394" t="s">
        <v>448</v>
      </c>
      <c r="U394" t="str">
        <f t="shared" ca="1" si="81"/>
        <v>Sheets("Master Data").Range("0" &amp; RowNo).Value</v>
      </c>
      <c r="V394" t="e">
        <f t="shared" ca="1" si="90"/>
        <v>#REF!</v>
      </c>
      <c r="X394" t="e">
        <f t="shared" ca="1" si="82"/>
        <v>#REF!</v>
      </c>
      <c r="Z394" t="e">
        <f t="shared" ca="1" si="83"/>
        <v>#REF!</v>
      </c>
      <c r="AB394" t="e">
        <f t="shared" ca="1" si="91"/>
        <v>#REF!</v>
      </c>
      <c r="AD394" t="e">
        <f t="shared" ca="1" si="79"/>
        <v>#REF!</v>
      </c>
    </row>
    <row r="395" spans="1:30" x14ac:dyDescent="0.3">
      <c r="A395" s="150">
        <v>388</v>
      </c>
      <c r="B395" s="150" t="str">
        <f t="shared" si="84"/>
        <v>NX1</v>
      </c>
      <c r="D395" t="s">
        <v>416</v>
      </c>
      <c r="E395">
        <f t="shared" ca="1" si="85"/>
        <v>0</v>
      </c>
      <c r="F395" t="e">
        <f t="shared" ca="1" si="80"/>
        <v>#REF!</v>
      </c>
      <c r="G395" t="s">
        <v>417</v>
      </c>
      <c r="H395" t="s">
        <v>421</v>
      </c>
      <c r="I395" t="e">
        <f t="shared" ca="1" si="86"/>
        <v>#REF!</v>
      </c>
      <c r="J395" t="e">
        <f t="shared" ca="1" si="87"/>
        <v>#REF!</v>
      </c>
      <c r="K395" t="s">
        <v>431</v>
      </c>
      <c r="L395" s="150" t="s">
        <v>423</v>
      </c>
      <c r="M395" s="150" t="s">
        <v>435</v>
      </c>
      <c r="N395" t="e">
        <f t="shared" ca="1" si="88"/>
        <v>#REF!</v>
      </c>
      <c r="O395" s="150" t="s">
        <v>412</v>
      </c>
      <c r="P395" s="150" t="s">
        <v>428</v>
      </c>
      <c r="Q395" s="150" t="s">
        <v>399</v>
      </c>
      <c r="R395" t="e">
        <f t="shared" ca="1" si="89"/>
        <v>#REF!</v>
      </c>
      <c r="S395" t="s">
        <v>398</v>
      </c>
      <c r="T395" t="s">
        <v>448</v>
      </c>
      <c r="U395" t="str">
        <f t="shared" ca="1" si="81"/>
        <v>Sheets("Master Data").Range("0" &amp; RowNo).Value</v>
      </c>
      <c r="V395" t="e">
        <f t="shared" ca="1" si="90"/>
        <v>#REF!</v>
      </c>
      <c r="X395" t="e">
        <f t="shared" ca="1" si="82"/>
        <v>#REF!</v>
      </c>
      <c r="Z395" t="e">
        <f t="shared" ca="1" si="83"/>
        <v>#REF!</v>
      </c>
      <c r="AB395" t="e">
        <f t="shared" ca="1" si="91"/>
        <v>#REF!</v>
      </c>
      <c r="AD395" t="e">
        <f t="shared" ca="1" si="79"/>
        <v>#REF!</v>
      </c>
    </row>
    <row r="396" spans="1:30" x14ac:dyDescent="0.3">
      <c r="A396" s="150">
        <v>389</v>
      </c>
      <c r="B396" s="150" t="str">
        <f t="shared" si="84"/>
        <v>NY1</v>
      </c>
      <c r="D396" t="s">
        <v>416</v>
      </c>
      <c r="E396">
        <f t="shared" ca="1" si="85"/>
        <v>0</v>
      </c>
      <c r="F396" t="e">
        <f t="shared" ca="1" si="80"/>
        <v>#REF!</v>
      </c>
      <c r="G396" t="s">
        <v>417</v>
      </c>
      <c r="H396" t="s">
        <v>421</v>
      </c>
      <c r="I396" t="e">
        <f t="shared" ca="1" si="86"/>
        <v>#REF!</v>
      </c>
      <c r="J396" t="e">
        <f t="shared" ca="1" si="87"/>
        <v>#REF!</v>
      </c>
      <c r="K396" t="s">
        <v>431</v>
      </c>
      <c r="L396" s="150" t="s">
        <v>423</v>
      </c>
      <c r="M396" s="150" t="s">
        <v>435</v>
      </c>
      <c r="N396" t="e">
        <f t="shared" ca="1" si="88"/>
        <v>#REF!</v>
      </c>
      <c r="O396" s="150" t="s">
        <v>412</v>
      </c>
      <c r="P396" s="150" t="s">
        <v>428</v>
      </c>
      <c r="Q396" s="150" t="s">
        <v>399</v>
      </c>
      <c r="R396" t="e">
        <f t="shared" ca="1" si="89"/>
        <v>#REF!</v>
      </c>
      <c r="S396" t="s">
        <v>398</v>
      </c>
      <c r="T396" t="s">
        <v>448</v>
      </c>
      <c r="U396" t="str">
        <f t="shared" ca="1" si="81"/>
        <v>Sheets("Master Data").Range("0" &amp; RowNo).Value</v>
      </c>
      <c r="V396" t="e">
        <f t="shared" ca="1" si="90"/>
        <v>#REF!</v>
      </c>
      <c r="X396" t="e">
        <f t="shared" ca="1" si="82"/>
        <v>#REF!</v>
      </c>
      <c r="Z396" t="e">
        <f t="shared" ca="1" si="83"/>
        <v>#REF!</v>
      </c>
      <c r="AB396" t="e">
        <f t="shared" ca="1" si="91"/>
        <v>#REF!</v>
      </c>
      <c r="AD396" t="e">
        <f t="shared" ca="1" si="79"/>
        <v>#REF!</v>
      </c>
    </row>
    <row r="397" spans="1:30" x14ac:dyDescent="0.3">
      <c r="A397" s="150">
        <v>390</v>
      </c>
      <c r="B397" s="150" t="str">
        <f t="shared" si="84"/>
        <v>NZ1</v>
      </c>
      <c r="D397" t="s">
        <v>416</v>
      </c>
      <c r="E397">
        <f t="shared" ca="1" si="85"/>
        <v>0</v>
      </c>
      <c r="F397" t="e">
        <f t="shared" ca="1" si="80"/>
        <v>#REF!</v>
      </c>
      <c r="G397" t="s">
        <v>417</v>
      </c>
      <c r="H397" t="s">
        <v>421</v>
      </c>
      <c r="I397" t="e">
        <f t="shared" ca="1" si="86"/>
        <v>#REF!</v>
      </c>
      <c r="J397" t="e">
        <f t="shared" ca="1" si="87"/>
        <v>#REF!</v>
      </c>
      <c r="K397" t="s">
        <v>431</v>
      </c>
      <c r="L397" s="150" t="s">
        <v>423</v>
      </c>
      <c r="M397" s="150" t="s">
        <v>435</v>
      </c>
      <c r="N397" t="e">
        <f t="shared" ca="1" si="88"/>
        <v>#REF!</v>
      </c>
      <c r="O397" s="150" t="s">
        <v>412</v>
      </c>
      <c r="P397" s="150" t="s">
        <v>428</v>
      </c>
      <c r="Q397" s="150" t="s">
        <v>399</v>
      </c>
      <c r="R397" t="e">
        <f t="shared" ca="1" si="89"/>
        <v>#REF!</v>
      </c>
      <c r="S397" t="s">
        <v>398</v>
      </c>
      <c r="T397" t="s">
        <v>448</v>
      </c>
      <c r="U397" t="str">
        <f t="shared" ca="1" si="81"/>
        <v>Sheets("Master Data").Range("0" &amp; RowNo).Value</v>
      </c>
      <c r="V397" t="e">
        <f t="shared" ca="1" si="90"/>
        <v>#REF!</v>
      </c>
      <c r="X397" t="e">
        <f t="shared" ca="1" si="82"/>
        <v>#REF!</v>
      </c>
      <c r="Z397" t="e">
        <f t="shared" ca="1" si="83"/>
        <v>#REF!</v>
      </c>
      <c r="AB397" t="e">
        <f t="shared" ca="1" si="91"/>
        <v>#REF!</v>
      </c>
      <c r="AD397" t="e">
        <f t="shared" ca="1" si="79"/>
        <v>#REF!</v>
      </c>
    </row>
    <row r="398" spans="1:30" x14ac:dyDescent="0.3">
      <c r="A398" s="150">
        <v>391</v>
      </c>
      <c r="B398" s="150" t="str">
        <f t="shared" si="84"/>
        <v>OA1</v>
      </c>
      <c r="D398" t="s">
        <v>416</v>
      </c>
      <c r="E398">
        <f t="shared" ca="1" si="85"/>
        <v>0</v>
      </c>
      <c r="F398" t="e">
        <f t="shared" ca="1" si="80"/>
        <v>#REF!</v>
      </c>
      <c r="G398" t="s">
        <v>417</v>
      </c>
      <c r="H398" t="s">
        <v>421</v>
      </c>
      <c r="I398" t="e">
        <f t="shared" ca="1" si="86"/>
        <v>#REF!</v>
      </c>
      <c r="J398" t="e">
        <f t="shared" ca="1" si="87"/>
        <v>#REF!</v>
      </c>
      <c r="K398" t="s">
        <v>431</v>
      </c>
      <c r="L398" s="150" t="s">
        <v>423</v>
      </c>
      <c r="M398" s="150" t="s">
        <v>435</v>
      </c>
      <c r="N398" t="e">
        <f t="shared" ca="1" si="88"/>
        <v>#REF!</v>
      </c>
      <c r="O398" s="150" t="s">
        <v>412</v>
      </c>
      <c r="P398" s="150" t="s">
        <v>428</v>
      </c>
      <c r="Q398" s="150" t="s">
        <v>399</v>
      </c>
      <c r="R398" t="e">
        <f t="shared" ca="1" si="89"/>
        <v>#REF!</v>
      </c>
      <c r="S398" t="s">
        <v>398</v>
      </c>
      <c r="T398" t="s">
        <v>448</v>
      </c>
      <c r="U398" t="str">
        <f t="shared" ca="1" si="81"/>
        <v>Sheets("Master Data").Range("0" &amp; RowNo).Value</v>
      </c>
      <c r="V398" t="e">
        <f t="shared" ca="1" si="90"/>
        <v>#REF!</v>
      </c>
      <c r="X398" t="e">
        <f t="shared" ca="1" si="82"/>
        <v>#REF!</v>
      </c>
      <c r="Z398" t="e">
        <f t="shared" ca="1" si="83"/>
        <v>#REF!</v>
      </c>
      <c r="AB398" t="e">
        <f t="shared" ca="1" si="91"/>
        <v>#REF!</v>
      </c>
      <c r="AD398" t="e">
        <f t="shared" ca="1" si="79"/>
        <v>#REF!</v>
      </c>
    </row>
    <row r="399" spans="1:30" x14ac:dyDescent="0.3">
      <c r="A399" s="150">
        <v>392</v>
      </c>
      <c r="B399" s="150" t="str">
        <f t="shared" si="84"/>
        <v>OB1</v>
      </c>
      <c r="D399" t="s">
        <v>416</v>
      </c>
      <c r="E399">
        <f t="shared" ca="1" si="85"/>
        <v>0</v>
      </c>
      <c r="F399" t="e">
        <f t="shared" ca="1" si="80"/>
        <v>#REF!</v>
      </c>
      <c r="G399" t="s">
        <v>417</v>
      </c>
      <c r="H399" t="s">
        <v>421</v>
      </c>
      <c r="I399" t="e">
        <f t="shared" ca="1" si="86"/>
        <v>#REF!</v>
      </c>
      <c r="J399" t="e">
        <f t="shared" ca="1" si="87"/>
        <v>#REF!</v>
      </c>
      <c r="K399" t="s">
        <v>431</v>
      </c>
      <c r="L399" s="150" t="s">
        <v>423</v>
      </c>
      <c r="M399" s="150" t="s">
        <v>435</v>
      </c>
      <c r="N399" t="e">
        <f t="shared" ca="1" si="88"/>
        <v>#REF!</v>
      </c>
      <c r="O399" s="150" t="s">
        <v>412</v>
      </c>
      <c r="P399" s="150" t="s">
        <v>428</v>
      </c>
      <c r="Q399" s="150" t="s">
        <v>399</v>
      </c>
      <c r="R399" t="e">
        <f t="shared" ca="1" si="89"/>
        <v>#REF!</v>
      </c>
      <c r="S399" t="s">
        <v>398</v>
      </c>
      <c r="T399" t="s">
        <v>448</v>
      </c>
      <c r="U399" t="str">
        <f t="shared" ca="1" si="81"/>
        <v>Sheets("Master Data").Range("0" &amp; RowNo).Value</v>
      </c>
      <c r="V399" t="e">
        <f t="shared" ca="1" si="90"/>
        <v>#REF!</v>
      </c>
      <c r="X399" t="e">
        <f t="shared" ca="1" si="82"/>
        <v>#REF!</v>
      </c>
      <c r="Z399" t="e">
        <f t="shared" ca="1" si="83"/>
        <v>#REF!</v>
      </c>
      <c r="AB399" t="e">
        <f t="shared" ca="1" si="91"/>
        <v>#REF!</v>
      </c>
      <c r="AD399" t="e">
        <f t="shared" ca="1" si="79"/>
        <v>#REF!</v>
      </c>
    </row>
    <row r="400" spans="1:30" x14ac:dyDescent="0.3">
      <c r="A400" s="150">
        <v>393</v>
      </c>
      <c r="B400" s="150" t="str">
        <f t="shared" si="84"/>
        <v>OC1</v>
      </c>
      <c r="D400" t="s">
        <v>416</v>
      </c>
      <c r="E400">
        <f t="shared" ca="1" si="85"/>
        <v>0</v>
      </c>
      <c r="F400" t="e">
        <f t="shared" ca="1" si="80"/>
        <v>#REF!</v>
      </c>
      <c r="G400" t="s">
        <v>417</v>
      </c>
      <c r="H400" t="s">
        <v>421</v>
      </c>
      <c r="I400" t="e">
        <f t="shared" ca="1" si="86"/>
        <v>#REF!</v>
      </c>
      <c r="J400" t="e">
        <f t="shared" ca="1" si="87"/>
        <v>#REF!</v>
      </c>
      <c r="K400" t="s">
        <v>431</v>
      </c>
      <c r="L400" s="150" t="s">
        <v>423</v>
      </c>
      <c r="M400" s="150" t="s">
        <v>435</v>
      </c>
      <c r="N400" t="e">
        <f t="shared" ca="1" si="88"/>
        <v>#REF!</v>
      </c>
      <c r="O400" s="150" t="s">
        <v>412</v>
      </c>
      <c r="P400" s="150" t="s">
        <v>428</v>
      </c>
      <c r="Q400" s="150" t="s">
        <v>399</v>
      </c>
      <c r="R400" t="e">
        <f t="shared" ca="1" si="89"/>
        <v>#REF!</v>
      </c>
      <c r="S400" t="s">
        <v>398</v>
      </c>
      <c r="T400" t="s">
        <v>448</v>
      </c>
      <c r="U400" t="str">
        <f t="shared" ca="1" si="81"/>
        <v>Sheets("Master Data").Range("0" &amp; RowNo).Value</v>
      </c>
      <c r="V400" t="e">
        <f t="shared" ca="1" si="90"/>
        <v>#REF!</v>
      </c>
      <c r="X400" t="e">
        <f t="shared" ca="1" si="82"/>
        <v>#REF!</v>
      </c>
      <c r="Z400" t="e">
        <f t="shared" ca="1" si="83"/>
        <v>#REF!</v>
      </c>
      <c r="AB400" t="e">
        <f t="shared" ca="1" si="91"/>
        <v>#REF!</v>
      </c>
      <c r="AD400" t="e">
        <f t="shared" ca="1" si="79"/>
        <v>#REF!</v>
      </c>
    </row>
    <row r="401" spans="1:30" x14ac:dyDescent="0.3">
      <c r="A401" s="150">
        <v>394</v>
      </c>
      <c r="B401" s="150" t="str">
        <f t="shared" si="84"/>
        <v>OD1</v>
      </c>
      <c r="D401" t="s">
        <v>416</v>
      </c>
      <c r="E401">
        <f t="shared" ca="1" si="85"/>
        <v>0</v>
      </c>
      <c r="F401" t="e">
        <f t="shared" ca="1" si="80"/>
        <v>#REF!</v>
      </c>
      <c r="G401" t="s">
        <v>417</v>
      </c>
      <c r="H401" t="s">
        <v>421</v>
      </c>
      <c r="I401" t="e">
        <f t="shared" ca="1" si="86"/>
        <v>#REF!</v>
      </c>
      <c r="J401" t="e">
        <f t="shared" ca="1" si="87"/>
        <v>#REF!</v>
      </c>
      <c r="K401" t="s">
        <v>431</v>
      </c>
      <c r="L401" s="150" t="s">
        <v>423</v>
      </c>
      <c r="M401" s="150" t="s">
        <v>435</v>
      </c>
      <c r="N401" t="e">
        <f t="shared" ca="1" si="88"/>
        <v>#REF!</v>
      </c>
      <c r="O401" s="150" t="s">
        <v>412</v>
      </c>
      <c r="P401" s="150" t="s">
        <v>428</v>
      </c>
      <c r="Q401" s="150" t="s">
        <v>399</v>
      </c>
      <c r="R401" t="e">
        <f t="shared" ca="1" si="89"/>
        <v>#REF!</v>
      </c>
      <c r="S401" t="s">
        <v>398</v>
      </c>
      <c r="T401" t="s">
        <v>448</v>
      </c>
      <c r="U401" t="str">
        <f t="shared" ca="1" si="81"/>
        <v>Sheets("Master Data").Range("0" &amp; RowNo).Value</v>
      </c>
      <c r="V401" t="e">
        <f t="shared" ca="1" si="90"/>
        <v>#REF!</v>
      </c>
      <c r="X401" t="e">
        <f t="shared" ca="1" si="82"/>
        <v>#REF!</v>
      </c>
      <c r="Z401" t="e">
        <f t="shared" ca="1" si="83"/>
        <v>#REF!</v>
      </c>
      <c r="AB401" t="e">
        <f t="shared" ca="1" si="91"/>
        <v>#REF!</v>
      </c>
      <c r="AD401" t="e">
        <f t="shared" ref="AD401:AD464" ca="1" si="92">CONCATENATE(U401,O401,V401)</f>
        <v>#REF!</v>
      </c>
    </row>
    <row r="402" spans="1:30" x14ac:dyDescent="0.3">
      <c r="A402" s="150">
        <v>395</v>
      </c>
      <c r="B402" s="150" t="str">
        <f t="shared" si="84"/>
        <v>OE1</v>
      </c>
      <c r="D402" t="s">
        <v>416</v>
      </c>
      <c r="E402">
        <f t="shared" ca="1" si="85"/>
        <v>0</v>
      </c>
      <c r="F402" t="e">
        <f t="shared" ca="1" si="80"/>
        <v>#REF!</v>
      </c>
      <c r="G402" t="s">
        <v>417</v>
      </c>
      <c r="H402" t="s">
        <v>421</v>
      </c>
      <c r="I402" t="e">
        <f t="shared" ca="1" si="86"/>
        <v>#REF!</v>
      </c>
      <c r="J402" t="e">
        <f t="shared" ca="1" si="87"/>
        <v>#REF!</v>
      </c>
      <c r="K402" t="s">
        <v>431</v>
      </c>
      <c r="L402" s="150" t="s">
        <v>423</v>
      </c>
      <c r="M402" s="150" t="s">
        <v>435</v>
      </c>
      <c r="N402" t="e">
        <f t="shared" ca="1" si="88"/>
        <v>#REF!</v>
      </c>
      <c r="O402" s="150" t="s">
        <v>412</v>
      </c>
      <c r="P402" s="150" t="s">
        <v>428</v>
      </c>
      <c r="Q402" s="150" t="s">
        <v>399</v>
      </c>
      <c r="R402" t="e">
        <f t="shared" ca="1" si="89"/>
        <v>#REF!</v>
      </c>
      <c r="S402" t="s">
        <v>398</v>
      </c>
      <c r="T402" t="s">
        <v>448</v>
      </c>
      <c r="U402" t="str">
        <f t="shared" ca="1" si="81"/>
        <v>Sheets("Master Data").Range("0" &amp; RowNo).Value</v>
      </c>
      <c r="V402" t="e">
        <f t="shared" ca="1" si="90"/>
        <v>#REF!</v>
      </c>
      <c r="X402" t="e">
        <f t="shared" ca="1" si="82"/>
        <v>#REF!</v>
      </c>
      <c r="Z402" t="e">
        <f t="shared" ca="1" si="83"/>
        <v>#REF!</v>
      </c>
      <c r="AB402" t="e">
        <f t="shared" ca="1" si="91"/>
        <v>#REF!</v>
      </c>
      <c r="AD402" t="e">
        <f t="shared" ca="1" si="92"/>
        <v>#REF!</v>
      </c>
    </row>
    <row r="403" spans="1:30" x14ac:dyDescent="0.3">
      <c r="A403" s="150">
        <v>396</v>
      </c>
      <c r="B403" s="150" t="str">
        <f t="shared" si="84"/>
        <v>OF1</v>
      </c>
      <c r="D403" t="s">
        <v>416</v>
      </c>
      <c r="E403">
        <f t="shared" ca="1" si="85"/>
        <v>0</v>
      </c>
      <c r="F403" t="e">
        <f t="shared" ca="1" si="80"/>
        <v>#REF!</v>
      </c>
      <c r="G403" t="s">
        <v>417</v>
      </c>
      <c r="H403" t="s">
        <v>421</v>
      </c>
      <c r="I403" t="e">
        <f t="shared" ca="1" si="86"/>
        <v>#REF!</v>
      </c>
      <c r="J403" t="e">
        <f t="shared" ca="1" si="87"/>
        <v>#REF!</v>
      </c>
      <c r="K403" t="s">
        <v>431</v>
      </c>
      <c r="L403" s="150" t="s">
        <v>423</v>
      </c>
      <c r="M403" s="150" t="s">
        <v>435</v>
      </c>
      <c r="N403" t="e">
        <f t="shared" ca="1" si="88"/>
        <v>#REF!</v>
      </c>
      <c r="O403" s="150" t="s">
        <v>412</v>
      </c>
      <c r="P403" s="150" t="s">
        <v>428</v>
      </c>
      <c r="Q403" s="150" t="s">
        <v>399</v>
      </c>
      <c r="R403" t="e">
        <f t="shared" ca="1" si="89"/>
        <v>#REF!</v>
      </c>
      <c r="S403" t="s">
        <v>398</v>
      </c>
      <c r="T403" t="s">
        <v>448</v>
      </c>
      <c r="U403" t="str">
        <f t="shared" ca="1" si="81"/>
        <v>Sheets("Master Data").Range("0" &amp; RowNo).Value</v>
      </c>
      <c r="V403" t="e">
        <f t="shared" ca="1" si="90"/>
        <v>#REF!</v>
      </c>
      <c r="X403" t="e">
        <f t="shared" ca="1" si="82"/>
        <v>#REF!</v>
      </c>
      <c r="Z403" t="e">
        <f t="shared" ca="1" si="83"/>
        <v>#REF!</v>
      </c>
      <c r="AB403" t="e">
        <f t="shared" ca="1" si="91"/>
        <v>#REF!</v>
      </c>
      <c r="AD403" t="e">
        <f t="shared" ca="1" si="92"/>
        <v>#REF!</v>
      </c>
    </row>
    <row r="404" spans="1:30" x14ac:dyDescent="0.3">
      <c r="A404" s="150">
        <v>397</v>
      </c>
      <c r="B404" s="150" t="str">
        <f t="shared" si="84"/>
        <v>OG1</v>
      </c>
      <c r="D404" t="s">
        <v>416</v>
      </c>
      <c r="E404">
        <f t="shared" ca="1" si="85"/>
        <v>0</v>
      </c>
      <c r="F404" t="e">
        <f t="shared" ref="F404:F467" ca="1" si="93">SUBSTITUTE(INDIRECT("'Master Data'!" &amp; E404 &amp; 4)," ","_")</f>
        <v>#REF!</v>
      </c>
      <c r="G404" t="s">
        <v>417</v>
      </c>
      <c r="H404" t="s">
        <v>421</v>
      </c>
      <c r="I404" t="e">
        <f t="shared" ca="1" si="86"/>
        <v>#REF!</v>
      </c>
      <c r="J404" t="e">
        <f t="shared" ca="1" si="87"/>
        <v>#REF!</v>
      </c>
      <c r="K404" t="s">
        <v>431</v>
      </c>
      <c r="L404" s="150" t="s">
        <v>423</v>
      </c>
      <c r="M404" s="150" t="s">
        <v>435</v>
      </c>
      <c r="N404" t="e">
        <f t="shared" ca="1" si="88"/>
        <v>#REF!</v>
      </c>
      <c r="O404" s="150" t="s">
        <v>412</v>
      </c>
      <c r="P404" s="150" t="s">
        <v>428</v>
      </c>
      <c r="Q404" s="150" t="s">
        <v>399</v>
      </c>
      <c r="R404" t="e">
        <f t="shared" ca="1" si="89"/>
        <v>#REF!</v>
      </c>
      <c r="S404" t="s">
        <v>398</v>
      </c>
      <c r="T404" t="s">
        <v>448</v>
      </c>
      <c r="U404" t="str">
        <f t="shared" ca="1" si="81"/>
        <v>Sheets("Master Data").Range("0" &amp; RowNo).Value</v>
      </c>
      <c r="V404" t="e">
        <f t="shared" ca="1" si="90"/>
        <v>#REF!</v>
      </c>
      <c r="X404" t="e">
        <f t="shared" ca="1" si="82"/>
        <v>#REF!</v>
      </c>
      <c r="Z404" t="e">
        <f t="shared" ca="1" si="83"/>
        <v>#REF!</v>
      </c>
      <c r="AB404" t="e">
        <f t="shared" ca="1" si="91"/>
        <v>#REF!</v>
      </c>
      <c r="AD404" t="e">
        <f t="shared" ca="1" si="92"/>
        <v>#REF!</v>
      </c>
    </row>
    <row r="405" spans="1:30" x14ac:dyDescent="0.3">
      <c r="A405" s="150">
        <v>398</v>
      </c>
      <c r="B405" s="150" t="str">
        <f t="shared" si="84"/>
        <v>OH1</v>
      </c>
      <c r="D405" t="s">
        <v>416</v>
      </c>
      <c r="E405">
        <f t="shared" ca="1" si="85"/>
        <v>0</v>
      </c>
      <c r="F405" t="e">
        <f t="shared" ca="1" si="93"/>
        <v>#REF!</v>
      </c>
      <c r="G405" t="s">
        <v>417</v>
      </c>
      <c r="H405" t="s">
        <v>421</v>
      </c>
      <c r="I405" t="e">
        <f t="shared" ca="1" si="86"/>
        <v>#REF!</v>
      </c>
      <c r="J405" t="e">
        <f t="shared" ca="1" si="87"/>
        <v>#REF!</v>
      </c>
      <c r="K405" t="s">
        <v>431</v>
      </c>
      <c r="L405" s="150" t="s">
        <v>423</v>
      </c>
      <c r="M405" s="150" t="s">
        <v>435</v>
      </c>
      <c r="N405" t="e">
        <f t="shared" ca="1" si="88"/>
        <v>#REF!</v>
      </c>
      <c r="O405" s="150" t="s">
        <v>412</v>
      </c>
      <c r="P405" s="150" t="s">
        <v>428</v>
      </c>
      <c r="Q405" s="150" t="s">
        <v>399</v>
      </c>
      <c r="R405" t="e">
        <f t="shared" ca="1" si="89"/>
        <v>#REF!</v>
      </c>
      <c r="S405" t="s">
        <v>398</v>
      </c>
      <c r="T405" t="s">
        <v>448</v>
      </c>
      <c r="U405" t="str">
        <f t="shared" ca="1" si="81"/>
        <v>Sheets("Master Data").Range("0" &amp; RowNo).Value</v>
      </c>
      <c r="V405" t="e">
        <f t="shared" ca="1" si="90"/>
        <v>#REF!</v>
      </c>
      <c r="X405" t="e">
        <f t="shared" ca="1" si="82"/>
        <v>#REF!</v>
      </c>
      <c r="Z405" t="e">
        <f t="shared" ca="1" si="83"/>
        <v>#REF!</v>
      </c>
      <c r="AB405" t="e">
        <f t="shared" ca="1" si="91"/>
        <v>#REF!</v>
      </c>
      <c r="AD405" t="e">
        <f t="shared" ca="1" si="92"/>
        <v>#REF!</v>
      </c>
    </row>
    <row r="406" spans="1:30" x14ac:dyDescent="0.3">
      <c r="A406" s="150">
        <v>399</v>
      </c>
      <c r="B406" s="150" t="str">
        <f t="shared" si="84"/>
        <v>OI1</v>
      </c>
      <c r="D406" t="s">
        <v>416</v>
      </c>
      <c r="E406">
        <f t="shared" ca="1" si="85"/>
        <v>0</v>
      </c>
      <c r="F406" t="e">
        <f t="shared" ca="1" si="93"/>
        <v>#REF!</v>
      </c>
      <c r="G406" t="s">
        <v>417</v>
      </c>
      <c r="H406" t="s">
        <v>421</v>
      </c>
      <c r="I406" t="e">
        <f t="shared" ca="1" si="86"/>
        <v>#REF!</v>
      </c>
      <c r="J406" t="e">
        <f t="shared" ca="1" si="87"/>
        <v>#REF!</v>
      </c>
      <c r="K406" t="s">
        <v>431</v>
      </c>
      <c r="L406" s="150" t="s">
        <v>423</v>
      </c>
      <c r="M406" s="150" t="s">
        <v>435</v>
      </c>
      <c r="N406" t="e">
        <f t="shared" ca="1" si="88"/>
        <v>#REF!</v>
      </c>
      <c r="O406" s="150" t="s">
        <v>412</v>
      </c>
      <c r="P406" s="150" t="s">
        <v>428</v>
      </c>
      <c r="Q406" s="150" t="s">
        <v>399</v>
      </c>
      <c r="R406" t="e">
        <f t="shared" ca="1" si="89"/>
        <v>#REF!</v>
      </c>
      <c r="S406" t="s">
        <v>398</v>
      </c>
      <c r="T406" t="s">
        <v>448</v>
      </c>
      <c r="U406" t="str">
        <f t="shared" ca="1" si="81"/>
        <v>Sheets("Master Data").Range("0" &amp; RowNo).Value</v>
      </c>
      <c r="V406" t="e">
        <f t="shared" ca="1" si="90"/>
        <v>#REF!</v>
      </c>
      <c r="X406" t="e">
        <f t="shared" ca="1" si="82"/>
        <v>#REF!</v>
      </c>
      <c r="Z406" t="e">
        <f t="shared" ca="1" si="83"/>
        <v>#REF!</v>
      </c>
      <c r="AB406" t="e">
        <f t="shared" ca="1" si="91"/>
        <v>#REF!</v>
      </c>
      <c r="AD406" t="e">
        <f t="shared" ca="1" si="92"/>
        <v>#REF!</v>
      </c>
    </row>
    <row r="407" spans="1:30" x14ac:dyDescent="0.3">
      <c r="A407" s="150">
        <v>400</v>
      </c>
      <c r="B407" s="150" t="str">
        <f t="shared" si="84"/>
        <v>OJ1</v>
      </c>
      <c r="D407" t="s">
        <v>416</v>
      </c>
      <c r="E407">
        <f t="shared" ca="1" si="85"/>
        <v>0</v>
      </c>
      <c r="F407" t="e">
        <f t="shared" ca="1" si="93"/>
        <v>#REF!</v>
      </c>
      <c r="G407" t="s">
        <v>417</v>
      </c>
      <c r="H407" t="s">
        <v>421</v>
      </c>
      <c r="I407" t="e">
        <f t="shared" ca="1" si="86"/>
        <v>#REF!</v>
      </c>
      <c r="J407" t="e">
        <f t="shared" ca="1" si="87"/>
        <v>#REF!</v>
      </c>
      <c r="K407" t="s">
        <v>431</v>
      </c>
      <c r="L407" s="150" t="s">
        <v>423</v>
      </c>
      <c r="M407" s="150" t="s">
        <v>435</v>
      </c>
      <c r="N407" t="e">
        <f t="shared" ca="1" si="88"/>
        <v>#REF!</v>
      </c>
      <c r="O407" s="150" t="s">
        <v>412</v>
      </c>
      <c r="P407" s="150" t="s">
        <v>428</v>
      </c>
      <c r="Q407" s="150" t="s">
        <v>399</v>
      </c>
      <c r="R407" t="e">
        <f t="shared" ca="1" si="89"/>
        <v>#REF!</v>
      </c>
      <c r="S407" t="s">
        <v>398</v>
      </c>
      <c r="T407" t="s">
        <v>448</v>
      </c>
      <c r="U407" t="str">
        <f t="shared" ca="1" si="81"/>
        <v>Sheets("Master Data").Range("0" &amp; RowNo).Value</v>
      </c>
      <c r="V407" t="e">
        <f t="shared" ca="1" si="90"/>
        <v>#REF!</v>
      </c>
      <c r="X407" t="e">
        <f t="shared" ca="1" si="82"/>
        <v>#REF!</v>
      </c>
      <c r="Z407" t="e">
        <f t="shared" ca="1" si="83"/>
        <v>#REF!</v>
      </c>
      <c r="AB407" t="e">
        <f t="shared" ca="1" si="91"/>
        <v>#REF!</v>
      </c>
      <c r="AD407" t="e">
        <f t="shared" ca="1" si="92"/>
        <v>#REF!</v>
      </c>
    </row>
    <row r="408" spans="1:30" x14ac:dyDescent="0.3">
      <c r="A408" s="150">
        <v>401</v>
      </c>
      <c r="B408" s="150" t="str">
        <f t="shared" si="84"/>
        <v>OK1</v>
      </c>
      <c r="D408" t="s">
        <v>416</v>
      </c>
      <c r="E408">
        <f t="shared" ca="1" si="85"/>
        <v>0</v>
      </c>
      <c r="F408" t="e">
        <f t="shared" ca="1" si="93"/>
        <v>#REF!</v>
      </c>
      <c r="G408" t="s">
        <v>417</v>
      </c>
      <c r="H408" t="s">
        <v>421</v>
      </c>
      <c r="I408" t="e">
        <f t="shared" ca="1" si="86"/>
        <v>#REF!</v>
      </c>
      <c r="J408" t="e">
        <f t="shared" ca="1" si="87"/>
        <v>#REF!</v>
      </c>
      <c r="K408" t="s">
        <v>431</v>
      </c>
      <c r="L408" s="150" t="s">
        <v>423</v>
      </c>
      <c r="M408" s="150" t="s">
        <v>435</v>
      </c>
      <c r="N408" t="e">
        <f t="shared" ca="1" si="88"/>
        <v>#REF!</v>
      </c>
      <c r="O408" s="150" t="s">
        <v>412</v>
      </c>
      <c r="P408" s="150" t="s">
        <v>428</v>
      </c>
      <c r="Q408" s="150" t="s">
        <v>399</v>
      </c>
      <c r="R408" t="e">
        <f t="shared" ca="1" si="89"/>
        <v>#REF!</v>
      </c>
      <c r="S408" t="s">
        <v>398</v>
      </c>
      <c r="T408" t="s">
        <v>448</v>
      </c>
      <c r="U408" t="str">
        <f t="shared" ca="1" si="81"/>
        <v>Sheets("Master Data").Range("0" &amp; RowNo).Value</v>
      </c>
      <c r="V408" t="e">
        <f t="shared" ca="1" si="90"/>
        <v>#REF!</v>
      </c>
      <c r="X408" t="e">
        <f t="shared" ca="1" si="82"/>
        <v>#REF!</v>
      </c>
      <c r="Z408" t="e">
        <f t="shared" ca="1" si="83"/>
        <v>#REF!</v>
      </c>
      <c r="AB408" t="e">
        <f t="shared" ca="1" si="91"/>
        <v>#REF!</v>
      </c>
      <c r="AD408" t="e">
        <f t="shared" ca="1" si="92"/>
        <v>#REF!</v>
      </c>
    </row>
    <row r="409" spans="1:30" x14ac:dyDescent="0.3">
      <c r="A409" s="150">
        <v>402</v>
      </c>
      <c r="B409" s="150" t="str">
        <f t="shared" si="84"/>
        <v>OL1</v>
      </c>
      <c r="D409" t="s">
        <v>416</v>
      </c>
      <c r="E409">
        <f t="shared" ca="1" si="85"/>
        <v>0</v>
      </c>
      <c r="F409" t="e">
        <f t="shared" ca="1" si="93"/>
        <v>#REF!</v>
      </c>
      <c r="G409" t="s">
        <v>417</v>
      </c>
      <c r="H409" t="s">
        <v>421</v>
      </c>
      <c r="I409" t="e">
        <f t="shared" ca="1" si="86"/>
        <v>#REF!</v>
      </c>
      <c r="J409" t="e">
        <f t="shared" ca="1" si="87"/>
        <v>#REF!</v>
      </c>
      <c r="K409" t="s">
        <v>431</v>
      </c>
      <c r="L409" s="150" t="s">
        <v>423</v>
      </c>
      <c r="M409" s="150" t="s">
        <v>435</v>
      </c>
      <c r="N409" t="e">
        <f t="shared" ca="1" si="88"/>
        <v>#REF!</v>
      </c>
      <c r="O409" s="150" t="s">
        <v>412</v>
      </c>
      <c r="P409" s="150" t="s">
        <v>428</v>
      </c>
      <c r="Q409" s="150" t="s">
        <v>399</v>
      </c>
      <c r="R409" t="e">
        <f t="shared" ca="1" si="89"/>
        <v>#REF!</v>
      </c>
      <c r="S409" t="s">
        <v>398</v>
      </c>
      <c r="T409" t="s">
        <v>448</v>
      </c>
      <c r="U409" t="str">
        <f t="shared" ca="1" si="81"/>
        <v>Sheets("Master Data").Range("0" &amp; RowNo).Value</v>
      </c>
      <c r="V409" t="e">
        <f t="shared" ca="1" si="90"/>
        <v>#REF!</v>
      </c>
      <c r="X409" t="e">
        <f t="shared" ca="1" si="82"/>
        <v>#REF!</v>
      </c>
      <c r="Z409" t="e">
        <f t="shared" ca="1" si="83"/>
        <v>#REF!</v>
      </c>
      <c r="AB409" t="e">
        <f t="shared" ca="1" si="91"/>
        <v>#REF!</v>
      </c>
      <c r="AD409" t="e">
        <f t="shared" ca="1" si="92"/>
        <v>#REF!</v>
      </c>
    </row>
    <row r="410" spans="1:30" x14ac:dyDescent="0.3">
      <c r="A410" s="150">
        <v>403</v>
      </c>
      <c r="B410" s="150" t="str">
        <f t="shared" si="84"/>
        <v>OM1</v>
      </c>
      <c r="D410" t="s">
        <v>416</v>
      </c>
      <c r="E410">
        <f t="shared" ca="1" si="85"/>
        <v>0</v>
      </c>
      <c r="F410" t="e">
        <f t="shared" ca="1" si="93"/>
        <v>#REF!</v>
      </c>
      <c r="G410" t="s">
        <v>417</v>
      </c>
      <c r="H410" t="s">
        <v>421</v>
      </c>
      <c r="I410" t="e">
        <f t="shared" ca="1" si="86"/>
        <v>#REF!</v>
      </c>
      <c r="J410" t="e">
        <f t="shared" ca="1" si="87"/>
        <v>#REF!</v>
      </c>
      <c r="K410" t="s">
        <v>431</v>
      </c>
      <c r="L410" s="150" t="s">
        <v>423</v>
      </c>
      <c r="M410" s="150" t="s">
        <v>435</v>
      </c>
      <c r="N410" t="e">
        <f t="shared" ca="1" si="88"/>
        <v>#REF!</v>
      </c>
      <c r="O410" s="150" t="s">
        <v>412</v>
      </c>
      <c r="P410" s="150" t="s">
        <v>428</v>
      </c>
      <c r="Q410" s="150" t="s">
        <v>399</v>
      </c>
      <c r="R410" t="e">
        <f t="shared" ca="1" si="89"/>
        <v>#REF!</v>
      </c>
      <c r="S410" t="s">
        <v>398</v>
      </c>
      <c r="T410" t="s">
        <v>448</v>
      </c>
      <c r="U410" t="str">
        <f t="shared" ca="1" si="81"/>
        <v>Sheets("Master Data").Range("0" &amp; RowNo).Value</v>
      </c>
      <c r="V410" t="e">
        <f t="shared" ca="1" si="90"/>
        <v>#REF!</v>
      </c>
      <c r="X410" t="e">
        <f t="shared" ca="1" si="82"/>
        <v>#REF!</v>
      </c>
      <c r="Z410" t="e">
        <f t="shared" ca="1" si="83"/>
        <v>#REF!</v>
      </c>
      <c r="AB410" t="e">
        <f t="shared" ca="1" si="91"/>
        <v>#REF!</v>
      </c>
      <c r="AD410" t="e">
        <f t="shared" ca="1" si="92"/>
        <v>#REF!</v>
      </c>
    </row>
    <row r="411" spans="1:30" x14ac:dyDescent="0.3">
      <c r="A411" s="150">
        <v>404</v>
      </c>
      <c r="B411" s="150" t="str">
        <f t="shared" si="84"/>
        <v>ON1</v>
      </c>
      <c r="D411" t="s">
        <v>416</v>
      </c>
      <c r="E411">
        <f t="shared" ca="1" si="85"/>
        <v>0</v>
      </c>
      <c r="F411" t="e">
        <f t="shared" ca="1" si="93"/>
        <v>#REF!</v>
      </c>
      <c r="G411" t="s">
        <v>417</v>
      </c>
      <c r="H411" t="s">
        <v>421</v>
      </c>
      <c r="I411" t="e">
        <f t="shared" ca="1" si="86"/>
        <v>#REF!</v>
      </c>
      <c r="J411" t="e">
        <f t="shared" ca="1" si="87"/>
        <v>#REF!</v>
      </c>
      <c r="K411" t="s">
        <v>431</v>
      </c>
      <c r="L411" s="150" t="s">
        <v>423</v>
      </c>
      <c r="M411" s="150" t="s">
        <v>435</v>
      </c>
      <c r="N411" t="e">
        <f t="shared" ca="1" si="88"/>
        <v>#REF!</v>
      </c>
      <c r="O411" s="150" t="s">
        <v>412</v>
      </c>
      <c r="P411" s="150" t="s">
        <v>428</v>
      </c>
      <c r="Q411" s="150" t="s">
        <v>399</v>
      </c>
      <c r="R411" t="e">
        <f t="shared" ca="1" si="89"/>
        <v>#REF!</v>
      </c>
      <c r="S411" t="s">
        <v>398</v>
      </c>
      <c r="T411" t="s">
        <v>448</v>
      </c>
      <c r="U411" t="str">
        <f t="shared" ca="1" si="81"/>
        <v>Sheets("Master Data").Range("0" &amp; RowNo).Value</v>
      </c>
      <c r="V411" t="e">
        <f t="shared" ca="1" si="90"/>
        <v>#REF!</v>
      </c>
      <c r="X411" t="e">
        <f t="shared" ca="1" si="82"/>
        <v>#REF!</v>
      </c>
      <c r="Z411" t="e">
        <f t="shared" ca="1" si="83"/>
        <v>#REF!</v>
      </c>
      <c r="AB411" t="e">
        <f t="shared" ca="1" si="91"/>
        <v>#REF!</v>
      </c>
      <c r="AD411" t="e">
        <f t="shared" ca="1" si="92"/>
        <v>#REF!</v>
      </c>
    </row>
    <row r="412" spans="1:30" x14ac:dyDescent="0.3">
      <c r="A412" s="150">
        <v>405</v>
      </c>
      <c r="B412" s="150" t="str">
        <f t="shared" si="84"/>
        <v>OO1</v>
      </c>
      <c r="D412" t="s">
        <v>416</v>
      </c>
      <c r="E412">
        <f t="shared" ca="1" si="85"/>
        <v>0</v>
      </c>
      <c r="F412" t="e">
        <f t="shared" ca="1" si="93"/>
        <v>#REF!</v>
      </c>
      <c r="G412" t="s">
        <v>417</v>
      </c>
      <c r="H412" t="s">
        <v>421</v>
      </c>
      <c r="I412" t="e">
        <f t="shared" ca="1" si="86"/>
        <v>#REF!</v>
      </c>
      <c r="J412" t="e">
        <f t="shared" ca="1" si="87"/>
        <v>#REF!</v>
      </c>
      <c r="K412" t="s">
        <v>431</v>
      </c>
      <c r="L412" s="150" t="s">
        <v>423</v>
      </c>
      <c r="M412" s="150" t="s">
        <v>435</v>
      </c>
      <c r="N412" t="e">
        <f t="shared" ca="1" si="88"/>
        <v>#REF!</v>
      </c>
      <c r="O412" s="150" t="s">
        <v>412</v>
      </c>
      <c r="P412" s="150" t="s">
        <v>428</v>
      </c>
      <c r="Q412" s="150" t="s">
        <v>399</v>
      </c>
      <c r="R412" t="e">
        <f t="shared" ca="1" si="89"/>
        <v>#REF!</v>
      </c>
      <c r="S412" t="s">
        <v>398</v>
      </c>
      <c r="T412" t="s">
        <v>448</v>
      </c>
      <c r="U412" t="str">
        <f t="shared" ca="1" si="81"/>
        <v>Sheets("Master Data").Range("0" &amp; RowNo).Value</v>
      </c>
      <c r="V412" t="e">
        <f t="shared" ca="1" si="90"/>
        <v>#REF!</v>
      </c>
      <c r="X412" t="e">
        <f t="shared" ca="1" si="82"/>
        <v>#REF!</v>
      </c>
      <c r="Z412" t="e">
        <f t="shared" ca="1" si="83"/>
        <v>#REF!</v>
      </c>
      <c r="AB412" t="e">
        <f t="shared" ca="1" si="91"/>
        <v>#REF!</v>
      </c>
      <c r="AD412" t="e">
        <f t="shared" ca="1" si="92"/>
        <v>#REF!</v>
      </c>
    </row>
    <row r="413" spans="1:30" x14ac:dyDescent="0.3">
      <c r="A413" s="150">
        <v>406</v>
      </c>
      <c r="B413" s="150" t="str">
        <f t="shared" si="84"/>
        <v>OP1</v>
      </c>
      <c r="D413" t="s">
        <v>416</v>
      </c>
      <c r="E413">
        <f t="shared" ca="1" si="85"/>
        <v>0</v>
      </c>
      <c r="F413" t="e">
        <f t="shared" ca="1" si="93"/>
        <v>#REF!</v>
      </c>
      <c r="G413" t="s">
        <v>417</v>
      </c>
      <c r="H413" t="s">
        <v>421</v>
      </c>
      <c r="I413" t="e">
        <f t="shared" ca="1" si="86"/>
        <v>#REF!</v>
      </c>
      <c r="J413" t="e">
        <f t="shared" ca="1" si="87"/>
        <v>#REF!</v>
      </c>
      <c r="K413" t="s">
        <v>431</v>
      </c>
      <c r="L413" s="150" t="s">
        <v>423</v>
      </c>
      <c r="M413" s="150" t="s">
        <v>435</v>
      </c>
      <c r="N413" t="e">
        <f t="shared" ca="1" si="88"/>
        <v>#REF!</v>
      </c>
      <c r="O413" s="150" t="s">
        <v>412</v>
      </c>
      <c r="P413" s="150" t="s">
        <v>428</v>
      </c>
      <c r="Q413" s="150" t="s">
        <v>399</v>
      </c>
      <c r="R413" t="e">
        <f t="shared" ca="1" si="89"/>
        <v>#REF!</v>
      </c>
      <c r="S413" t="s">
        <v>398</v>
      </c>
      <c r="T413" t="s">
        <v>448</v>
      </c>
      <c r="U413" t="str">
        <f t="shared" ca="1" si="81"/>
        <v>Sheets("Master Data").Range("0" &amp; RowNo).Value</v>
      </c>
      <c r="V413" t="e">
        <f t="shared" ca="1" si="90"/>
        <v>#REF!</v>
      </c>
      <c r="X413" t="e">
        <f t="shared" ca="1" si="82"/>
        <v>#REF!</v>
      </c>
      <c r="Z413" t="e">
        <f t="shared" ca="1" si="83"/>
        <v>#REF!</v>
      </c>
      <c r="AB413" t="e">
        <f t="shared" ca="1" si="91"/>
        <v>#REF!</v>
      </c>
      <c r="AD413" t="e">
        <f t="shared" ca="1" si="92"/>
        <v>#REF!</v>
      </c>
    </row>
    <row r="414" spans="1:30" x14ac:dyDescent="0.3">
      <c r="A414" s="150">
        <v>407</v>
      </c>
      <c r="B414" s="150" t="str">
        <f t="shared" si="84"/>
        <v>OQ1</v>
      </c>
      <c r="D414" t="s">
        <v>416</v>
      </c>
      <c r="E414">
        <f t="shared" ca="1" si="85"/>
        <v>0</v>
      </c>
      <c r="F414" t="e">
        <f t="shared" ca="1" si="93"/>
        <v>#REF!</v>
      </c>
      <c r="G414" t="s">
        <v>417</v>
      </c>
      <c r="H414" t="s">
        <v>421</v>
      </c>
      <c r="I414" t="e">
        <f t="shared" ca="1" si="86"/>
        <v>#REF!</v>
      </c>
      <c r="J414" t="e">
        <f t="shared" ca="1" si="87"/>
        <v>#REF!</v>
      </c>
      <c r="K414" t="s">
        <v>431</v>
      </c>
      <c r="L414" s="150" t="s">
        <v>423</v>
      </c>
      <c r="M414" s="150" t="s">
        <v>435</v>
      </c>
      <c r="N414" t="e">
        <f t="shared" ca="1" si="88"/>
        <v>#REF!</v>
      </c>
      <c r="O414" s="150" t="s">
        <v>412</v>
      </c>
      <c r="P414" s="150" t="s">
        <v>428</v>
      </c>
      <c r="Q414" s="150" t="s">
        <v>399</v>
      </c>
      <c r="R414" t="e">
        <f t="shared" ca="1" si="89"/>
        <v>#REF!</v>
      </c>
      <c r="S414" t="s">
        <v>398</v>
      </c>
      <c r="T414" t="s">
        <v>448</v>
      </c>
      <c r="U414" t="str">
        <f t="shared" ca="1" si="81"/>
        <v>Sheets("Master Data").Range("0" &amp; RowNo).Value</v>
      </c>
      <c r="V414" t="e">
        <f t="shared" ca="1" si="90"/>
        <v>#REF!</v>
      </c>
      <c r="X414" t="e">
        <f t="shared" ca="1" si="82"/>
        <v>#REF!</v>
      </c>
      <c r="Z414" t="e">
        <f t="shared" ca="1" si="83"/>
        <v>#REF!</v>
      </c>
      <c r="AB414" t="e">
        <f t="shared" ca="1" si="91"/>
        <v>#REF!</v>
      </c>
      <c r="AD414" t="e">
        <f t="shared" ca="1" si="92"/>
        <v>#REF!</v>
      </c>
    </row>
    <row r="415" spans="1:30" x14ac:dyDescent="0.3">
      <c r="A415" s="150">
        <v>408</v>
      </c>
      <c r="B415" s="150" t="str">
        <f t="shared" si="84"/>
        <v>OR1</v>
      </c>
      <c r="D415" t="s">
        <v>416</v>
      </c>
      <c r="E415">
        <f t="shared" ca="1" si="85"/>
        <v>0</v>
      </c>
      <c r="F415" t="e">
        <f t="shared" ca="1" si="93"/>
        <v>#REF!</v>
      </c>
      <c r="G415" t="s">
        <v>417</v>
      </c>
      <c r="H415" t="s">
        <v>421</v>
      </c>
      <c r="I415" t="e">
        <f t="shared" ca="1" si="86"/>
        <v>#REF!</v>
      </c>
      <c r="J415" t="e">
        <f t="shared" ca="1" si="87"/>
        <v>#REF!</v>
      </c>
      <c r="K415" t="s">
        <v>431</v>
      </c>
      <c r="L415" s="150" t="s">
        <v>423</v>
      </c>
      <c r="M415" s="150" t="s">
        <v>435</v>
      </c>
      <c r="N415" t="e">
        <f t="shared" ca="1" si="88"/>
        <v>#REF!</v>
      </c>
      <c r="O415" s="150" t="s">
        <v>412</v>
      </c>
      <c r="P415" s="150" t="s">
        <v>428</v>
      </c>
      <c r="Q415" s="150" t="s">
        <v>399</v>
      </c>
      <c r="R415" t="e">
        <f t="shared" ca="1" si="89"/>
        <v>#REF!</v>
      </c>
      <c r="S415" t="s">
        <v>398</v>
      </c>
      <c r="T415" t="s">
        <v>448</v>
      </c>
      <c r="U415" t="str">
        <f t="shared" ca="1" si="81"/>
        <v>Sheets("Master Data").Range("0" &amp; RowNo).Value</v>
      </c>
      <c r="V415" t="e">
        <f t="shared" ca="1" si="90"/>
        <v>#REF!</v>
      </c>
      <c r="X415" t="e">
        <f t="shared" ca="1" si="82"/>
        <v>#REF!</v>
      </c>
      <c r="Z415" t="e">
        <f t="shared" ca="1" si="83"/>
        <v>#REF!</v>
      </c>
      <c r="AB415" t="e">
        <f t="shared" ca="1" si="91"/>
        <v>#REF!</v>
      </c>
      <c r="AD415" t="e">
        <f t="shared" ca="1" si="92"/>
        <v>#REF!</v>
      </c>
    </row>
    <row r="416" spans="1:30" x14ac:dyDescent="0.3">
      <c r="A416" s="150">
        <v>409</v>
      </c>
      <c r="B416" s="150" t="str">
        <f t="shared" si="84"/>
        <v>OS1</v>
      </c>
      <c r="D416" t="s">
        <v>416</v>
      </c>
      <c r="E416">
        <f t="shared" ca="1" si="85"/>
        <v>0</v>
      </c>
      <c r="F416" t="e">
        <f t="shared" ca="1" si="93"/>
        <v>#REF!</v>
      </c>
      <c r="G416" t="s">
        <v>417</v>
      </c>
      <c r="H416" t="s">
        <v>421</v>
      </c>
      <c r="I416" t="e">
        <f t="shared" ca="1" si="86"/>
        <v>#REF!</v>
      </c>
      <c r="J416" t="e">
        <f t="shared" ca="1" si="87"/>
        <v>#REF!</v>
      </c>
      <c r="K416" t="s">
        <v>431</v>
      </c>
      <c r="L416" s="150" t="s">
        <v>423</v>
      </c>
      <c r="M416" s="150" t="s">
        <v>435</v>
      </c>
      <c r="N416" t="e">
        <f t="shared" ca="1" si="88"/>
        <v>#REF!</v>
      </c>
      <c r="O416" s="150" t="s">
        <v>412</v>
      </c>
      <c r="P416" s="150" t="s">
        <v>428</v>
      </c>
      <c r="Q416" s="150" t="s">
        <v>399</v>
      </c>
      <c r="R416" t="e">
        <f t="shared" ca="1" si="89"/>
        <v>#REF!</v>
      </c>
      <c r="S416" t="s">
        <v>398</v>
      </c>
      <c r="T416" t="s">
        <v>448</v>
      </c>
      <c r="U416" t="str">
        <f t="shared" ca="1" si="81"/>
        <v>Sheets("Master Data").Range("0" &amp; RowNo).Value</v>
      </c>
      <c r="V416" t="e">
        <f t="shared" ca="1" si="90"/>
        <v>#REF!</v>
      </c>
      <c r="X416" t="e">
        <f t="shared" ca="1" si="82"/>
        <v>#REF!</v>
      </c>
      <c r="Z416" t="e">
        <f t="shared" ca="1" si="83"/>
        <v>#REF!</v>
      </c>
      <c r="AB416" t="e">
        <f t="shared" ca="1" si="91"/>
        <v>#REF!</v>
      </c>
      <c r="AD416" t="e">
        <f t="shared" ca="1" si="92"/>
        <v>#REF!</v>
      </c>
    </row>
    <row r="417" spans="1:30" x14ac:dyDescent="0.3">
      <c r="A417" s="150">
        <v>410</v>
      </c>
      <c r="B417" s="150" t="str">
        <f t="shared" si="84"/>
        <v>OT1</v>
      </c>
      <c r="D417" t="s">
        <v>416</v>
      </c>
      <c r="E417">
        <f t="shared" ca="1" si="85"/>
        <v>0</v>
      </c>
      <c r="F417" t="e">
        <f t="shared" ca="1" si="93"/>
        <v>#REF!</v>
      </c>
      <c r="G417" t="s">
        <v>417</v>
      </c>
      <c r="H417" t="s">
        <v>421</v>
      </c>
      <c r="I417" t="e">
        <f t="shared" ca="1" si="86"/>
        <v>#REF!</v>
      </c>
      <c r="J417" t="e">
        <f t="shared" ca="1" si="87"/>
        <v>#REF!</v>
      </c>
      <c r="K417" t="s">
        <v>431</v>
      </c>
      <c r="L417" s="150" t="s">
        <v>423</v>
      </c>
      <c r="M417" s="150" t="s">
        <v>435</v>
      </c>
      <c r="N417" t="e">
        <f t="shared" ca="1" si="88"/>
        <v>#REF!</v>
      </c>
      <c r="O417" s="150" t="s">
        <v>412</v>
      </c>
      <c r="P417" s="150" t="s">
        <v>428</v>
      </c>
      <c r="Q417" s="150" t="s">
        <v>399</v>
      </c>
      <c r="R417" t="e">
        <f t="shared" ca="1" si="89"/>
        <v>#REF!</v>
      </c>
      <c r="S417" t="s">
        <v>398</v>
      </c>
      <c r="T417" t="s">
        <v>448</v>
      </c>
      <c r="U417" t="str">
        <f t="shared" ca="1" si="81"/>
        <v>Sheets("Master Data").Range("0" &amp; RowNo).Value</v>
      </c>
      <c r="V417" t="e">
        <f t="shared" ca="1" si="90"/>
        <v>#REF!</v>
      </c>
      <c r="X417" t="e">
        <f t="shared" ca="1" si="82"/>
        <v>#REF!</v>
      </c>
      <c r="Z417" t="e">
        <f t="shared" ca="1" si="83"/>
        <v>#REF!</v>
      </c>
      <c r="AB417" t="e">
        <f t="shared" ca="1" si="91"/>
        <v>#REF!</v>
      </c>
      <c r="AD417" t="e">
        <f t="shared" ca="1" si="92"/>
        <v>#REF!</v>
      </c>
    </row>
    <row r="418" spans="1:30" x14ac:dyDescent="0.3">
      <c r="A418" s="150">
        <v>411</v>
      </c>
      <c r="B418" s="150" t="str">
        <f t="shared" si="84"/>
        <v>OU1</v>
      </c>
      <c r="D418" t="s">
        <v>416</v>
      </c>
      <c r="E418">
        <f t="shared" ca="1" si="85"/>
        <v>0</v>
      </c>
      <c r="F418" t="e">
        <f t="shared" ca="1" si="93"/>
        <v>#REF!</v>
      </c>
      <c r="G418" t="s">
        <v>417</v>
      </c>
      <c r="H418" t="s">
        <v>421</v>
      </c>
      <c r="I418" t="e">
        <f t="shared" ca="1" si="86"/>
        <v>#REF!</v>
      </c>
      <c r="J418" t="e">
        <f t="shared" ca="1" si="87"/>
        <v>#REF!</v>
      </c>
      <c r="K418" t="s">
        <v>431</v>
      </c>
      <c r="L418" s="150" t="s">
        <v>423</v>
      </c>
      <c r="M418" s="150" t="s">
        <v>435</v>
      </c>
      <c r="N418" t="e">
        <f t="shared" ca="1" si="88"/>
        <v>#REF!</v>
      </c>
      <c r="O418" s="150" t="s">
        <v>412</v>
      </c>
      <c r="P418" s="150" t="s">
        <v>428</v>
      </c>
      <c r="Q418" s="150" t="s">
        <v>399</v>
      </c>
      <c r="R418" t="e">
        <f t="shared" ca="1" si="89"/>
        <v>#REF!</v>
      </c>
      <c r="S418" t="s">
        <v>398</v>
      </c>
      <c r="T418" t="s">
        <v>448</v>
      </c>
      <c r="U418" t="str">
        <f t="shared" ca="1" si="81"/>
        <v>Sheets("Master Data").Range("0" &amp; RowNo).Value</v>
      </c>
      <c r="V418" t="e">
        <f t="shared" ca="1" si="90"/>
        <v>#REF!</v>
      </c>
      <c r="X418" t="e">
        <f t="shared" ca="1" si="82"/>
        <v>#REF!</v>
      </c>
      <c r="Z418" t="e">
        <f t="shared" ca="1" si="83"/>
        <v>#REF!</v>
      </c>
      <c r="AB418" t="e">
        <f t="shared" ca="1" si="91"/>
        <v>#REF!</v>
      </c>
      <c r="AD418" t="e">
        <f t="shared" ca="1" si="92"/>
        <v>#REF!</v>
      </c>
    </row>
    <row r="419" spans="1:30" x14ac:dyDescent="0.3">
      <c r="A419" s="150">
        <v>412</v>
      </c>
      <c r="B419" s="150" t="str">
        <f t="shared" si="84"/>
        <v>OV1</v>
      </c>
      <c r="D419" t="s">
        <v>416</v>
      </c>
      <c r="E419">
        <f t="shared" ca="1" si="85"/>
        <v>0</v>
      </c>
      <c r="F419" t="e">
        <f t="shared" ca="1" si="93"/>
        <v>#REF!</v>
      </c>
      <c r="G419" t="s">
        <v>417</v>
      </c>
      <c r="H419" t="s">
        <v>421</v>
      </c>
      <c r="I419" t="e">
        <f t="shared" ca="1" si="86"/>
        <v>#REF!</v>
      </c>
      <c r="J419" t="e">
        <f t="shared" ca="1" si="87"/>
        <v>#REF!</v>
      </c>
      <c r="K419" t="s">
        <v>431</v>
      </c>
      <c r="L419" s="150" t="s">
        <v>423</v>
      </c>
      <c r="M419" s="150" t="s">
        <v>435</v>
      </c>
      <c r="N419" t="e">
        <f t="shared" ca="1" si="88"/>
        <v>#REF!</v>
      </c>
      <c r="O419" s="150" t="s">
        <v>412</v>
      </c>
      <c r="P419" s="150" t="s">
        <v>428</v>
      </c>
      <c r="Q419" s="150" t="s">
        <v>399</v>
      </c>
      <c r="R419" t="e">
        <f t="shared" ca="1" si="89"/>
        <v>#REF!</v>
      </c>
      <c r="S419" t="s">
        <v>398</v>
      </c>
      <c r="T419" t="s">
        <v>448</v>
      </c>
      <c r="U419" t="str">
        <f t="shared" ca="1" si="81"/>
        <v>Sheets("Master Data").Range("0" &amp; RowNo).Value</v>
      </c>
      <c r="V419" t="e">
        <f t="shared" ca="1" si="90"/>
        <v>#REF!</v>
      </c>
      <c r="X419" t="e">
        <f t="shared" ca="1" si="82"/>
        <v>#REF!</v>
      </c>
      <c r="Z419" t="e">
        <f t="shared" ca="1" si="83"/>
        <v>#REF!</v>
      </c>
      <c r="AB419" t="e">
        <f t="shared" ca="1" si="91"/>
        <v>#REF!</v>
      </c>
      <c r="AD419" t="e">
        <f t="shared" ca="1" si="92"/>
        <v>#REF!</v>
      </c>
    </row>
    <row r="420" spans="1:30" x14ac:dyDescent="0.3">
      <c r="A420" s="150">
        <v>413</v>
      </c>
      <c r="B420" s="150" t="str">
        <f t="shared" si="84"/>
        <v>OW1</v>
      </c>
      <c r="D420" t="s">
        <v>416</v>
      </c>
      <c r="E420">
        <f t="shared" ca="1" si="85"/>
        <v>0</v>
      </c>
      <c r="F420" t="e">
        <f t="shared" ca="1" si="93"/>
        <v>#REF!</v>
      </c>
      <c r="G420" t="s">
        <v>417</v>
      </c>
      <c r="H420" t="s">
        <v>421</v>
      </c>
      <c r="I420" t="e">
        <f t="shared" ca="1" si="86"/>
        <v>#REF!</v>
      </c>
      <c r="J420" t="e">
        <f t="shared" ca="1" si="87"/>
        <v>#REF!</v>
      </c>
      <c r="K420" t="s">
        <v>431</v>
      </c>
      <c r="L420" s="150" t="s">
        <v>423</v>
      </c>
      <c r="M420" s="150" t="s">
        <v>435</v>
      </c>
      <c r="N420" t="e">
        <f t="shared" ca="1" si="88"/>
        <v>#REF!</v>
      </c>
      <c r="O420" s="150" t="s">
        <v>412</v>
      </c>
      <c r="P420" s="150" t="s">
        <v>428</v>
      </c>
      <c r="Q420" s="150" t="s">
        <v>399</v>
      </c>
      <c r="R420" t="e">
        <f t="shared" ca="1" si="89"/>
        <v>#REF!</v>
      </c>
      <c r="S420" t="s">
        <v>398</v>
      </c>
      <c r="T420" t="s">
        <v>448</v>
      </c>
      <c r="U420" t="str">
        <f t="shared" ca="1" si="81"/>
        <v>Sheets("Master Data").Range("0" &amp; RowNo).Value</v>
      </c>
      <c r="V420" t="e">
        <f t="shared" ca="1" si="90"/>
        <v>#REF!</v>
      </c>
      <c r="X420" t="e">
        <f t="shared" ca="1" si="82"/>
        <v>#REF!</v>
      </c>
      <c r="Z420" t="e">
        <f t="shared" ca="1" si="83"/>
        <v>#REF!</v>
      </c>
      <c r="AB420" t="e">
        <f t="shared" ca="1" si="91"/>
        <v>#REF!</v>
      </c>
      <c r="AD420" t="e">
        <f t="shared" ca="1" si="92"/>
        <v>#REF!</v>
      </c>
    </row>
    <row r="421" spans="1:30" x14ac:dyDescent="0.3">
      <c r="A421" s="150">
        <v>414</v>
      </c>
      <c r="B421" s="150" t="str">
        <f t="shared" si="84"/>
        <v>OX1</v>
      </c>
      <c r="D421" t="s">
        <v>416</v>
      </c>
      <c r="E421">
        <f t="shared" ca="1" si="85"/>
        <v>0</v>
      </c>
      <c r="F421" t="e">
        <f t="shared" ca="1" si="93"/>
        <v>#REF!</v>
      </c>
      <c r="G421" t="s">
        <v>417</v>
      </c>
      <c r="H421" t="s">
        <v>421</v>
      </c>
      <c r="I421" t="e">
        <f t="shared" ca="1" si="86"/>
        <v>#REF!</v>
      </c>
      <c r="J421" t="e">
        <f t="shared" ca="1" si="87"/>
        <v>#REF!</v>
      </c>
      <c r="K421" t="s">
        <v>431</v>
      </c>
      <c r="L421" s="150" t="s">
        <v>423</v>
      </c>
      <c r="M421" s="150" t="s">
        <v>435</v>
      </c>
      <c r="N421" t="e">
        <f t="shared" ca="1" si="88"/>
        <v>#REF!</v>
      </c>
      <c r="O421" s="150" t="s">
        <v>412</v>
      </c>
      <c r="P421" s="150" t="s">
        <v>428</v>
      </c>
      <c r="Q421" s="150" t="s">
        <v>399</v>
      </c>
      <c r="R421" t="e">
        <f t="shared" ca="1" si="89"/>
        <v>#REF!</v>
      </c>
      <c r="S421" t="s">
        <v>398</v>
      </c>
      <c r="T421" t="s">
        <v>448</v>
      </c>
      <c r="U421" t="str">
        <f t="shared" ca="1" si="81"/>
        <v>Sheets("Master Data").Range("0" &amp; RowNo).Value</v>
      </c>
      <c r="V421" t="e">
        <f t="shared" ca="1" si="90"/>
        <v>#REF!</v>
      </c>
      <c r="X421" t="e">
        <f t="shared" ca="1" si="82"/>
        <v>#REF!</v>
      </c>
      <c r="Z421" t="e">
        <f t="shared" ca="1" si="83"/>
        <v>#REF!</v>
      </c>
      <c r="AB421" t="e">
        <f t="shared" ca="1" si="91"/>
        <v>#REF!</v>
      </c>
      <c r="AD421" t="e">
        <f t="shared" ca="1" si="92"/>
        <v>#REF!</v>
      </c>
    </row>
    <row r="422" spans="1:30" x14ac:dyDescent="0.3">
      <c r="A422" s="150">
        <v>415</v>
      </c>
      <c r="B422" s="150" t="str">
        <f t="shared" si="84"/>
        <v>OY1</v>
      </c>
      <c r="D422" t="s">
        <v>416</v>
      </c>
      <c r="E422">
        <f t="shared" ca="1" si="85"/>
        <v>0</v>
      </c>
      <c r="F422" t="e">
        <f t="shared" ca="1" si="93"/>
        <v>#REF!</v>
      </c>
      <c r="G422" t="s">
        <v>417</v>
      </c>
      <c r="H422" t="s">
        <v>421</v>
      </c>
      <c r="I422" t="e">
        <f t="shared" ca="1" si="86"/>
        <v>#REF!</v>
      </c>
      <c r="J422" t="e">
        <f t="shared" ca="1" si="87"/>
        <v>#REF!</v>
      </c>
      <c r="K422" t="s">
        <v>431</v>
      </c>
      <c r="L422" s="150" t="s">
        <v>423</v>
      </c>
      <c r="M422" s="150" t="s">
        <v>435</v>
      </c>
      <c r="N422" t="e">
        <f t="shared" ca="1" si="88"/>
        <v>#REF!</v>
      </c>
      <c r="O422" s="150" t="s">
        <v>412</v>
      </c>
      <c r="P422" s="150" t="s">
        <v>428</v>
      </c>
      <c r="Q422" s="150" t="s">
        <v>399</v>
      </c>
      <c r="R422" t="e">
        <f t="shared" ca="1" si="89"/>
        <v>#REF!</v>
      </c>
      <c r="S422" t="s">
        <v>398</v>
      </c>
      <c r="T422" t="s">
        <v>448</v>
      </c>
      <c r="U422" t="str">
        <f t="shared" ca="1" si="81"/>
        <v>Sheets("Master Data").Range("0" &amp; RowNo).Value</v>
      </c>
      <c r="V422" t="e">
        <f t="shared" ca="1" si="90"/>
        <v>#REF!</v>
      </c>
      <c r="X422" t="e">
        <f t="shared" ca="1" si="82"/>
        <v>#REF!</v>
      </c>
      <c r="Z422" t="e">
        <f t="shared" ca="1" si="83"/>
        <v>#REF!</v>
      </c>
      <c r="AB422" t="e">
        <f t="shared" ca="1" si="91"/>
        <v>#REF!</v>
      </c>
      <c r="AD422" t="e">
        <f t="shared" ca="1" si="92"/>
        <v>#REF!</v>
      </c>
    </row>
    <row r="423" spans="1:30" x14ac:dyDescent="0.3">
      <c r="A423" s="150">
        <v>416</v>
      </c>
      <c r="B423" s="150" t="str">
        <f t="shared" si="84"/>
        <v>OZ1</v>
      </c>
      <c r="D423" t="s">
        <v>416</v>
      </c>
      <c r="E423">
        <f t="shared" ca="1" si="85"/>
        <v>0</v>
      </c>
      <c r="F423" t="e">
        <f t="shared" ca="1" si="93"/>
        <v>#REF!</v>
      </c>
      <c r="G423" t="s">
        <v>417</v>
      </c>
      <c r="H423" t="s">
        <v>421</v>
      </c>
      <c r="I423" t="e">
        <f t="shared" ca="1" si="86"/>
        <v>#REF!</v>
      </c>
      <c r="J423" t="e">
        <f t="shared" ca="1" si="87"/>
        <v>#REF!</v>
      </c>
      <c r="K423" t="s">
        <v>431</v>
      </c>
      <c r="L423" s="150" t="s">
        <v>423</v>
      </c>
      <c r="M423" s="150" t="s">
        <v>435</v>
      </c>
      <c r="N423" t="e">
        <f t="shared" ca="1" si="88"/>
        <v>#REF!</v>
      </c>
      <c r="O423" s="150" t="s">
        <v>412</v>
      </c>
      <c r="P423" s="150" t="s">
        <v>428</v>
      </c>
      <c r="Q423" s="150" t="s">
        <v>399</v>
      </c>
      <c r="R423" t="e">
        <f t="shared" ca="1" si="89"/>
        <v>#REF!</v>
      </c>
      <c r="S423" t="s">
        <v>398</v>
      </c>
      <c r="T423" t="s">
        <v>448</v>
      </c>
      <c r="U423" t="str">
        <f t="shared" ca="1" si="81"/>
        <v>Sheets("Master Data").Range("0" &amp; RowNo).Value</v>
      </c>
      <c r="V423" t="e">
        <f t="shared" ca="1" si="90"/>
        <v>#REF!</v>
      </c>
      <c r="X423" t="e">
        <f t="shared" ca="1" si="82"/>
        <v>#REF!</v>
      </c>
      <c r="Z423" t="e">
        <f t="shared" ca="1" si="83"/>
        <v>#REF!</v>
      </c>
      <c r="AB423" t="e">
        <f t="shared" ca="1" si="91"/>
        <v>#REF!</v>
      </c>
      <c r="AD423" t="e">
        <f t="shared" ca="1" si="92"/>
        <v>#REF!</v>
      </c>
    </row>
    <row r="424" spans="1:30" x14ac:dyDescent="0.3">
      <c r="A424" s="150">
        <v>417</v>
      </c>
      <c r="B424" s="150" t="str">
        <f t="shared" si="84"/>
        <v>PA1</v>
      </c>
      <c r="D424" t="s">
        <v>416</v>
      </c>
      <c r="E424">
        <f t="shared" ca="1" si="85"/>
        <v>0</v>
      </c>
      <c r="F424" t="e">
        <f t="shared" ca="1" si="93"/>
        <v>#REF!</v>
      </c>
      <c r="G424" t="s">
        <v>417</v>
      </c>
      <c r="H424" t="s">
        <v>421</v>
      </c>
      <c r="I424" t="e">
        <f t="shared" ca="1" si="86"/>
        <v>#REF!</v>
      </c>
      <c r="J424" t="e">
        <f t="shared" ca="1" si="87"/>
        <v>#REF!</v>
      </c>
      <c r="K424" t="s">
        <v>431</v>
      </c>
      <c r="L424" s="150" t="s">
        <v>423</v>
      </c>
      <c r="M424" s="150" t="s">
        <v>435</v>
      </c>
      <c r="N424" t="e">
        <f t="shared" ca="1" si="88"/>
        <v>#REF!</v>
      </c>
      <c r="O424" s="150" t="s">
        <v>412</v>
      </c>
      <c r="P424" s="150" t="s">
        <v>428</v>
      </c>
      <c r="Q424" s="150" t="s">
        <v>399</v>
      </c>
      <c r="R424" t="e">
        <f t="shared" ca="1" si="89"/>
        <v>#REF!</v>
      </c>
      <c r="S424" t="s">
        <v>398</v>
      </c>
      <c r="T424" t="s">
        <v>448</v>
      </c>
      <c r="U424" t="str">
        <f t="shared" ca="1" si="81"/>
        <v>Sheets("Master Data").Range("0" &amp; RowNo).Value</v>
      </c>
      <c r="V424" t="e">
        <f t="shared" ca="1" si="90"/>
        <v>#REF!</v>
      </c>
      <c r="X424" t="e">
        <f t="shared" ca="1" si="82"/>
        <v>#REF!</v>
      </c>
      <c r="Z424" t="e">
        <f t="shared" ca="1" si="83"/>
        <v>#REF!</v>
      </c>
      <c r="AB424" t="e">
        <f t="shared" ca="1" si="91"/>
        <v>#REF!</v>
      </c>
      <c r="AD424" t="e">
        <f t="shared" ca="1" si="92"/>
        <v>#REF!</v>
      </c>
    </row>
    <row r="425" spans="1:30" x14ac:dyDescent="0.3">
      <c r="A425" s="150">
        <v>418</v>
      </c>
      <c r="B425" s="150" t="str">
        <f t="shared" si="84"/>
        <v>PB1</v>
      </c>
      <c r="D425" t="s">
        <v>416</v>
      </c>
      <c r="E425">
        <f t="shared" ca="1" si="85"/>
        <v>0</v>
      </c>
      <c r="F425" t="e">
        <f t="shared" ca="1" si="93"/>
        <v>#REF!</v>
      </c>
      <c r="G425" t="s">
        <v>417</v>
      </c>
      <c r="H425" t="s">
        <v>421</v>
      </c>
      <c r="I425" t="e">
        <f t="shared" ca="1" si="86"/>
        <v>#REF!</v>
      </c>
      <c r="J425" t="e">
        <f t="shared" ca="1" si="87"/>
        <v>#REF!</v>
      </c>
      <c r="K425" t="s">
        <v>431</v>
      </c>
      <c r="L425" s="150" t="s">
        <v>423</v>
      </c>
      <c r="M425" s="150" t="s">
        <v>435</v>
      </c>
      <c r="N425" t="e">
        <f t="shared" ca="1" si="88"/>
        <v>#REF!</v>
      </c>
      <c r="O425" s="150" t="s">
        <v>412</v>
      </c>
      <c r="P425" s="150" t="s">
        <v>428</v>
      </c>
      <c r="Q425" s="150" t="s">
        <v>399</v>
      </c>
      <c r="R425" t="e">
        <f t="shared" ca="1" si="89"/>
        <v>#REF!</v>
      </c>
      <c r="S425" t="s">
        <v>398</v>
      </c>
      <c r="T425" t="s">
        <v>448</v>
      </c>
      <c r="U425" t="str">
        <f t="shared" ca="1" si="81"/>
        <v>Sheets("Master Data").Range("0" &amp; RowNo).Value</v>
      </c>
      <c r="V425" t="e">
        <f t="shared" ca="1" si="90"/>
        <v>#REF!</v>
      </c>
      <c r="X425" t="e">
        <f t="shared" ca="1" si="82"/>
        <v>#REF!</v>
      </c>
      <c r="Z425" t="e">
        <f t="shared" ca="1" si="83"/>
        <v>#REF!</v>
      </c>
      <c r="AB425" t="e">
        <f t="shared" ca="1" si="91"/>
        <v>#REF!</v>
      </c>
      <c r="AD425" t="e">
        <f t="shared" ca="1" si="92"/>
        <v>#REF!</v>
      </c>
    </row>
    <row r="426" spans="1:30" x14ac:dyDescent="0.3">
      <c r="A426" s="150">
        <v>419</v>
      </c>
      <c r="B426" s="150" t="str">
        <f t="shared" si="84"/>
        <v>PC1</v>
      </c>
      <c r="D426" t="s">
        <v>416</v>
      </c>
      <c r="E426">
        <f t="shared" ca="1" si="85"/>
        <v>0</v>
      </c>
      <c r="F426" t="e">
        <f t="shared" ca="1" si="93"/>
        <v>#REF!</v>
      </c>
      <c r="G426" t="s">
        <v>417</v>
      </c>
      <c r="H426" t="s">
        <v>421</v>
      </c>
      <c r="I426" t="e">
        <f t="shared" ca="1" si="86"/>
        <v>#REF!</v>
      </c>
      <c r="J426" t="e">
        <f t="shared" ca="1" si="87"/>
        <v>#REF!</v>
      </c>
      <c r="K426" t="s">
        <v>431</v>
      </c>
      <c r="L426" s="150" t="s">
        <v>423</v>
      </c>
      <c r="M426" s="150" t="s">
        <v>435</v>
      </c>
      <c r="N426" t="e">
        <f t="shared" ca="1" si="88"/>
        <v>#REF!</v>
      </c>
      <c r="O426" s="150" t="s">
        <v>412</v>
      </c>
      <c r="P426" s="150" t="s">
        <v>428</v>
      </c>
      <c r="Q426" s="150" t="s">
        <v>399</v>
      </c>
      <c r="R426" t="e">
        <f t="shared" ca="1" si="89"/>
        <v>#REF!</v>
      </c>
      <c r="S426" t="s">
        <v>398</v>
      </c>
      <c r="T426" t="s">
        <v>448</v>
      </c>
      <c r="U426" t="str">
        <f t="shared" ca="1" si="81"/>
        <v>Sheets("Master Data").Range("0" &amp; RowNo).Value</v>
      </c>
      <c r="V426" t="e">
        <f t="shared" ca="1" si="90"/>
        <v>#REF!</v>
      </c>
      <c r="X426" t="e">
        <f t="shared" ca="1" si="82"/>
        <v>#REF!</v>
      </c>
      <c r="Z426" t="e">
        <f t="shared" ca="1" si="83"/>
        <v>#REF!</v>
      </c>
      <c r="AB426" t="e">
        <f t="shared" ca="1" si="91"/>
        <v>#REF!</v>
      </c>
      <c r="AD426" t="e">
        <f t="shared" ca="1" si="92"/>
        <v>#REF!</v>
      </c>
    </row>
    <row r="427" spans="1:30" x14ac:dyDescent="0.3">
      <c r="A427" s="150">
        <v>420</v>
      </c>
      <c r="B427" s="150" t="str">
        <f t="shared" si="84"/>
        <v>PD1</v>
      </c>
      <c r="D427" t="s">
        <v>416</v>
      </c>
      <c r="E427">
        <f t="shared" ca="1" si="85"/>
        <v>0</v>
      </c>
      <c r="F427" t="e">
        <f t="shared" ca="1" si="93"/>
        <v>#REF!</v>
      </c>
      <c r="G427" t="s">
        <v>417</v>
      </c>
      <c r="H427" t="s">
        <v>421</v>
      </c>
      <c r="I427" t="e">
        <f t="shared" ca="1" si="86"/>
        <v>#REF!</v>
      </c>
      <c r="J427" t="e">
        <f t="shared" ca="1" si="87"/>
        <v>#REF!</v>
      </c>
      <c r="K427" t="s">
        <v>431</v>
      </c>
      <c r="L427" s="150" t="s">
        <v>423</v>
      </c>
      <c r="M427" s="150" t="s">
        <v>435</v>
      </c>
      <c r="N427" t="e">
        <f t="shared" ca="1" si="88"/>
        <v>#REF!</v>
      </c>
      <c r="O427" s="150" t="s">
        <v>412</v>
      </c>
      <c r="P427" s="150" t="s">
        <v>428</v>
      </c>
      <c r="Q427" s="150" t="s">
        <v>399</v>
      </c>
      <c r="R427" t="e">
        <f t="shared" ca="1" si="89"/>
        <v>#REF!</v>
      </c>
      <c r="S427" t="s">
        <v>398</v>
      </c>
      <c r="T427" t="s">
        <v>448</v>
      </c>
      <c r="U427" t="str">
        <f t="shared" ca="1" si="81"/>
        <v>Sheets("Master Data").Range("0" &amp; RowNo).Value</v>
      </c>
      <c r="V427" t="e">
        <f t="shared" ca="1" si="90"/>
        <v>#REF!</v>
      </c>
      <c r="X427" t="e">
        <f t="shared" ca="1" si="82"/>
        <v>#REF!</v>
      </c>
      <c r="Z427" t="e">
        <f t="shared" ca="1" si="83"/>
        <v>#REF!</v>
      </c>
      <c r="AB427" t="e">
        <f t="shared" ca="1" si="91"/>
        <v>#REF!</v>
      </c>
      <c r="AD427" t="e">
        <f t="shared" ca="1" si="92"/>
        <v>#REF!</v>
      </c>
    </row>
    <row r="428" spans="1:30" x14ac:dyDescent="0.3">
      <c r="A428" s="150">
        <v>421</v>
      </c>
      <c r="B428" s="150" t="str">
        <f t="shared" si="84"/>
        <v>PE1</v>
      </c>
      <c r="D428" t="s">
        <v>416</v>
      </c>
      <c r="E428">
        <f t="shared" ca="1" si="85"/>
        <v>0</v>
      </c>
      <c r="F428" t="e">
        <f t="shared" ca="1" si="93"/>
        <v>#REF!</v>
      </c>
      <c r="G428" t="s">
        <v>417</v>
      </c>
      <c r="H428" t="s">
        <v>421</v>
      </c>
      <c r="I428" t="e">
        <f t="shared" ca="1" si="86"/>
        <v>#REF!</v>
      </c>
      <c r="J428" t="e">
        <f t="shared" ca="1" si="87"/>
        <v>#REF!</v>
      </c>
      <c r="K428" t="s">
        <v>431</v>
      </c>
      <c r="L428" s="150" t="s">
        <v>423</v>
      </c>
      <c r="M428" s="150" t="s">
        <v>435</v>
      </c>
      <c r="N428" t="e">
        <f t="shared" ca="1" si="88"/>
        <v>#REF!</v>
      </c>
      <c r="O428" s="150" t="s">
        <v>412</v>
      </c>
      <c r="P428" s="150" t="s">
        <v>428</v>
      </c>
      <c r="Q428" s="150" t="s">
        <v>399</v>
      </c>
      <c r="R428" t="e">
        <f t="shared" ca="1" si="89"/>
        <v>#REF!</v>
      </c>
      <c r="S428" t="s">
        <v>398</v>
      </c>
      <c r="T428" t="s">
        <v>448</v>
      </c>
      <c r="U428" t="str">
        <f t="shared" ca="1" si="81"/>
        <v>Sheets("Master Data").Range("0" &amp; RowNo).Value</v>
      </c>
      <c r="V428" t="e">
        <f t="shared" ca="1" si="90"/>
        <v>#REF!</v>
      </c>
      <c r="X428" t="e">
        <f t="shared" ca="1" si="82"/>
        <v>#REF!</v>
      </c>
      <c r="Z428" t="e">
        <f t="shared" ca="1" si="83"/>
        <v>#REF!</v>
      </c>
      <c r="AB428" t="e">
        <f t="shared" ca="1" si="91"/>
        <v>#REF!</v>
      </c>
      <c r="AD428" t="e">
        <f t="shared" ca="1" si="92"/>
        <v>#REF!</v>
      </c>
    </row>
    <row r="429" spans="1:30" x14ac:dyDescent="0.3">
      <c r="A429" s="150">
        <v>422</v>
      </c>
      <c r="B429" s="150" t="str">
        <f t="shared" si="84"/>
        <v>PF1</v>
      </c>
      <c r="D429" t="s">
        <v>416</v>
      </c>
      <c r="E429">
        <f t="shared" ca="1" si="85"/>
        <v>0</v>
      </c>
      <c r="F429" t="e">
        <f t="shared" ca="1" si="93"/>
        <v>#REF!</v>
      </c>
      <c r="G429" t="s">
        <v>417</v>
      </c>
      <c r="H429" t="s">
        <v>421</v>
      </c>
      <c r="I429" t="e">
        <f t="shared" ca="1" si="86"/>
        <v>#REF!</v>
      </c>
      <c r="J429" t="e">
        <f t="shared" ca="1" si="87"/>
        <v>#REF!</v>
      </c>
      <c r="K429" t="s">
        <v>431</v>
      </c>
      <c r="L429" s="150" t="s">
        <v>423</v>
      </c>
      <c r="M429" s="150" t="s">
        <v>435</v>
      </c>
      <c r="N429" t="e">
        <f t="shared" ca="1" si="88"/>
        <v>#REF!</v>
      </c>
      <c r="O429" s="150" t="s">
        <v>412</v>
      </c>
      <c r="P429" s="150" t="s">
        <v>428</v>
      </c>
      <c r="Q429" s="150" t="s">
        <v>399</v>
      </c>
      <c r="R429" t="e">
        <f t="shared" ca="1" si="89"/>
        <v>#REF!</v>
      </c>
      <c r="S429" t="s">
        <v>398</v>
      </c>
      <c r="T429" t="s">
        <v>448</v>
      </c>
      <c r="U429" t="str">
        <f t="shared" ca="1" si="81"/>
        <v>Sheets("Master Data").Range("0" &amp; RowNo).Value</v>
      </c>
      <c r="V429" t="e">
        <f t="shared" ca="1" si="90"/>
        <v>#REF!</v>
      </c>
      <c r="X429" t="e">
        <f t="shared" ca="1" si="82"/>
        <v>#REF!</v>
      </c>
      <c r="Z429" t="e">
        <f t="shared" ca="1" si="83"/>
        <v>#REF!</v>
      </c>
      <c r="AB429" t="e">
        <f t="shared" ca="1" si="91"/>
        <v>#REF!</v>
      </c>
      <c r="AD429" t="e">
        <f t="shared" ca="1" si="92"/>
        <v>#REF!</v>
      </c>
    </row>
    <row r="430" spans="1:30" x14ac:dyDescent="0.3">
      <c r="A430" s="150">
        <v>423</v>
      </c>
      <c r="B430" s="150" t="str">
        <f t="shared" si="84"/>
        <v>PG1</v>
      </c>
      <c r="D430" t="s">
        <v>416</v>
      </c>
      <c r="E430">
        <f t="shared" ca="1" si="85"/>
        <v>0</v>
      </c>
      <c r="F430" t="e">
        <f t="shared" ca="1" si="93"/>
        <v>#REF!</v>
      </c>
      <c r="G430" t="s">
        <v>417</v>
      </c>
      <c r="H430" t="s">
        <v>421</v>
      </c>
      <c r="I430" t="e">
        <f t="shared" ca="1" si="86"/>
        <v>#REF!</v>
      </c>
      <c r="J430" t="e">
        <f t="shared" ca="1" si="87"/>
        <v>#REF!</v>
      </c>
      <c r="K430" t="s">
        <v>431</v>
      </c>
      <c r="L430" s="150" t="s">
        <v>423</v>
      </c>
      <c r="M430" s="150" t="s">
        <v>435</v>
      </c>
      <c r="N430" t="e">
        <f t="shared" ca="1" si="88"/>
        <v>#REF!</v>
      </c>
      <c r="O430" s="150" t="s">
        <v>412</v>
      </c>
      <c r="P430" s="150" t="s">
        <v>428</v>
      </c>
      <c r="Q430" s="150" t="s">
        <v>399</v>
      </c>
      <c r="R430" t="e">
        <f t="shared" ca="1" si="89"/>
        <v>#REF!</v>
      </c>
      <c r="S430" t="s">
        <v>398</v>
      </c>
      <c r="T430" t="s">
        <v>448</v>
      </c>
      <c r="U430" t="str">
        <f t="shared" ca="1" si="81"/>
        <v>Sheets("Master Data").Range("0" &amp; RowNo).Value</v>
      </c>
      <c r="V430" t="e">
        <f t="shared" ca="1" si="90"/>
        <v>#REF!</v>
      </c>
      <c r="X430" t="e">
        <f t="shared" ca="1" si="82"/>
        <v>#REF!</v>
      </c>
      <c r="Z430" t="e">
        <f t="shared" ca="1" si="83"/>
        <v>#REF!</v>
      </c>
      <c r="AB430" t="e">
        <f t="shared" ca="1" si="91"/>
        <v>#REF!</v>
      </c>
      <c r="AD430" t="e">
        <f t="shared" ca="1" si="92"/>
        <v>#REF!</v>
      </c>
    </row>
    <row r="431" spans="1:30" x14ac:dyDescent="0.3">
      <c r="A431" s="150">
        <v>424</v>
      </c>
      <c r="B431" s="150" t="str">
        <f t="shared" si="84"/>
        <v>PH1</v>
      </c>
      <c r="D431" t="s">
        <v>416</v>
      </c>
      <c r="E431">
        <f t="shared" ca="1" si="85"/>
        <v>0</v>
      </c>
      <c r="F431" t="e">
        <f t="shared" ca="1" si="93"/>
        <v>#REF!</v>
      </c>
      <c r="G431" t="s">
        <v>417</v>
      </c>
      <c r="H431" t="s">
        <v>421</v>
      </c>
      <c r="I431" t="e">
        <f t="shared" ca="1" si="86"/>
        <v>#REF!</v>
      </c>
      <c r="J431" t="e">
        <f t="shared" ca="1" si="87"/>
        <v>#REF!</v>
      </c>
      <c r="K431" t="s">
        <v>431</v>
      </c>
      <c r="L431" s="150" t="s">
        <v>423</v>
      </c>
      <c r="M431" s="150" t="s">
        <v>435</v>
      </c>
      <c r="N431" t="e">
        <f t="shared" ca="1" si="88"/>
        <v>#REF!</v>
      </c>
      <c r="O431" s="150" t="s">
        <v>412</v>
      </c>
      <c r="P431" s="150" t="s">
        <v>428</v>
      </c>
      <c r="Q431" s="150" t="s">
        <v>399</v>
      </c>
      <c r="R431" t="e">
        <f t="shared" ca="1" si="89"/>
        <v>#REF!</v>
      </c>
      <c r="S431" t="s">
        <v>398</v>
      </c>
      <c r="T431" t="s">
        <v>448</v>
      </c>
      <c r="U431" t="str">
        <f t="shared" ca="1" si="81"/>
        <v>Sheets("Master Data").Range("0" &amp; RowNo).Value</v>
      </c>
      <c r="V431" t="e">
        <f t="shared" ca="1" si="90"/>
        <v>#REF!</v>
      </c>
      <c r="X431" t="e">
        <f t="shared" ca="1" si="82"/>
        <v>#REF!</v>
      </c>
      <c r="Z431" t="e">
        <f t="shared" ca="1" si="83"/>
        <v>#REF!</v>
      </c>
      <c r="AB431" t="e">
        <f t="shared" ca="1" si="91"/>
        <v>#REF!</v>
      </c>
      <c r="AD431" t="e">
        <f t="shared" ca="1" si="92"/>
        <v>#REF!</v>
      </c>
    </row>
    <row r="432" spans="1:30" x14ac:dyDescent="0.3">
      <c r="A432" s="150">
        <v>425</v>
      </c>
      <c r="B432" s="150" t="str">
        <f t="shared" si="84"/>
        <v>PI1</v>
      </c>
      <c r="D432" t="s">
        <v>416</v>
      </c>
      <c r="E432">
        <f t="shared" ca="1" si="85"/>
        <v>0</v>
      </c>
      <c r="F432" t="e">
        <f t="shared" ca="1" si="93"/>
        <v>#REF!</v>
      </c>
      <c r="G432" t="s">
        <v>417</v>
      </c>
      <c r="H432" t="s">
        <v>421</v>
      </c>
      <c r="I432" t="e">
        <f t="shared" ca="1" si="86"/>
        <v>#REF!</v>
      </c>
      <c r="J432" t="e">
        <f t="shared" ca="1" si="87"/>
        <v>#REF!</v>
      </c>
      <c r="K432" t="s">
        <v>431</v>
      </c>
      <c r="L432" s="150" t="s">
        <v>423</v>
      </c>
      <c r="M432" s="150" t="s">
        <v>435</v>
      </c>
      <c r="N432" t="e">
        <f t="shared" ca="1" si="88"/>
        <v>#REF!</v>
      </c>
      <c r="O432" s="150" t="s">
        <v>412</v>
      </c>
      <c r="P432" s="150" t="s">
        <v>428</v>
      </c>
      <c r="Q432" s="150" t="s">
        <v>399</v>
      </c>
      <c r="R432" t="e">
        <f t="shared" ca="1" si="89"/>
        <v>#REF!</v>
      </c>
      <c r="S432" t="s">
        <v>398</v>
      </c>
      <c r="T432" t="s">
        <v>448</v>
      </c>
      <c r="U432" t="str">
        <f t="shared" ca="1" si="81"/>
        <v>Sheets("Master Data").Range("0" &amp; RowNo).Value</v>
      </c>
      <c r="V432" t="e">
        <f t="shared" ca="1" si="90"/>
        <v>#REF!</v>
      </c>
      <c r="X432" t="e">
        <f t="shared" ca="1" si="82"/>
        <v>#REF!</v>
      </c>
      <c r="Z432" t="e">
        <f t="shared" ca="1" si="83"/>
        <v>#REF!</v>
      </c>
      <c r="AB432" t="e">
        <f t="shared" ca="1" si="91"/>
        <v>#REF!</v>
      </c>
      <c r="AD432" t="e">
        <f t="shared" ca="1" si="92"/>
        <v>#REF!</v>
      </c>
    </row>
    <row r="433" spans="1:30" x14ac:dyDescent="0.3">
      <c r="A433" s="150">
        <v>426</v>
      </c>
      <c r="B433" s="150" t="str">
        <f t="shared" si="84"/>
        <v>PJ1</v>
      </c>
      <c r="D433" t="s">
        <v>416</v>
      </c>
      <c r="E433">
        <f t="shared" ca="1" si="85"/>
        <v>0</v>
      </c>
      <c r="F433" t="e">
        <f t="shared" ca="1" si="93"/>
        <v>#REF!</v>
      </c>
      <c r="G433" t="s">
        <v>417</v>
      </c>
      <c r="H433" t="s">
        <v>421</v>
      </c>
      <c r="I433" t="e">
        <f t="shared" ca="1" si="86"/>
        <v>#REF!</v>
      </c>
      <c r="J433" t="e">
        <f t="shared" ca="1" si="87"/>
        <v>#REF!</v>
      </c>
      <c r="K433" t="s">
        <v>431</v>
      </c>
      <c r="L433" s="150" t="s">
        <v>423</v>
      </c>
      <c r="M433" s="150" t="s">
        <v>435</v>
      </c>
      <c r="N433" t="e">
        <f t="shared" ca="1" si="88"/>
        <v>#REF!</v>
      </c>
      <c r="O433" s="150" t="s">
        <v>412</v>
      </c>
      <c r="P433" s="150" t="s">
        <v>428</v>
      </c>
      <c r="Q433" s="150" t="s">
        <v>399</v>
      </c>
      <c r="R433" t="e">
        <f t="shared" ca="1" si="89"/>
        <v>#REF!</v>
      </c>
      <c r="S433" t="s">
        <v>398</v>
      </c>
      <c r="T433" t="s">
        <v>448</v>
      </c>
      <c r="U433" t="str">
        <f t="shared" ca="1" si="81"/>
        <v>Sheets("Master Data").Range("0" &amp; RowNo).Value</v>
      </c>
      <c r="V433" t="e">
        <f t="shared" ca="1" si="90"/>
        <v>#REF!</v>
      </c>
      <c r="X433" t="e">
        <f t="shared" ca="1" si="82"/>
        <v>#REF!</v>
      </c>
      <c r="Z433" t="e">
        <f t="shared" ca="1" si="83"/>
        <v>#REF!</v>
      </c>
      <c r="AB433" t="e">
        <f t="shared" ca="1" si="91"/>
        <v>#REF!</v>
      </c>
      <c r="AD433" t="e">
        <f t="shared" ca="1" si="92"/>
        <v>#REF!</v>
      </c>
    </row>
    <row r="434" spans="1:30" x14ac:dyDescent="0.3">
      <c r="A434" s="150">
        <v>427</v>
      </c>
      <c r="B434" s="150" t="str">
        <f t="shared" si="84"/>
        <v>PK1</v>
      </c>
      <c r="D434" t="s">
        <v>416</v>
      </c>
      <c r="E434">
        <f t="shared" ca="1" si="85"/>
        <v>0</v>
      </c>
      <c r="F434" t="e">
        <f t="shared" ca="1" si="93"/>
        <v>#REF!</v>
      </c>
      <c r="G434" t="s">
        <v>417</v>
      </c>
      <c r="H434" t="s">
        <v>421</v>
      </c>
      <c r="I434" t="e">
        <f t="shared" ca="1" si="86"/>
        <v>#REF!</v>
      </c>
      <c r="J434" t="e">
        <f t="shared" ca="1" si="87"/>
        <v>#REF!</v>
      </c>
      <c r="K434" t="s">
        <v>431</v>
      </c>
      <c r="L434" s="150" t="s">
        <v>423</v>
      </c>
      <c r="M434" s="150" t="s">
        <v>435</v>
      </c>
      <c r="N434" t="e">
        <f t="shared" ca="1" si="88"/>
        <v>#REF!</v>
      </c>
      <c r="O434" s="150" t="s">
        <v>412</v>
      </c>
      <c r="P434" s="150" t="s">
        <v>428</v>
      </c>
      <c r="Q434" s="150" t="s">
        <v>399</v>
      </c>
      <c r="R434" t="e">
        <f t="shared" ca="1" si="89"/>
        <v>#REF!</v>
      </c>
      <c r="S434" t="s">
        <v>398</v>
      </c>
      <c r="T434" t="s">
        <v>448</v>
      </c>
      <c r="U434" t="str">
        <f t="shared" ca="1" si="81"/>
        <v>Sheets("Master Data").Range("0" &amp; RowNo).Value</v>
      </c>
      <c r="V434" t="e">
        <f t="shared" ca="1" si="90"/>
        <v>#REF!</v>
      </c>
      <c r="X434" t="e">
        <f t="shared" ca="1" si="82"/>
        <v>#REF!</v>
      </c>
      <c r="Z434" t="e">
        <f t="shared" ca="1" si="83"/>
        <v>#REF!</v>
      </c>
      <c r="AB434" t="e">
        <f t="shared" ca="1" si="91"/>
        <v>#REF!</v>
      </c>
      <c r="AD434" t="e">
        <f t="shared" ca="1" si="92"/>
        <v>#REF!</v>
      </c>
    </row>
    <row r="435" spans="1:30" x14ac:dyDescent="0.3">
      <c r="A435" s="150">
        <v>428</v>
      </c>
      <c r="B435" s="150" t="str">
        <f t="shared" si="84"/>
        <v>PL1</v>
      </c>
      <c r="D435" t="s">
        <v>416</v>
      </c>
      <c r="E435">
        <f t="shared" ca="1" si="85"/>
        <v>0</v>
      </c>
      <c r="F435" t="e">
        <f t="shared" ca="1" si="93"/>
        <v>#REF!</v>
      </c>
      <c r="G435" t="s">
        <v>417</v>
      </c>
      <c r="H435" t="s">
        <v>421</v>
      </c>
      <c r="I435" t="e">
        <f t="shared" ca="1" si="86"/>
        <v>#REF!</v>
      </c>
      <c r="J435" t="e">
        <f t="shared" ca="1" si="87"/>
        <v>#REF!</v>
      </c>
      <c r="K435" t="s">
        <v>431</v>
      </c>
      <c r="L435" s="150" t="s">
        <v>423</v>
      </c>
      <c r="M435" s="150" t="s">
        <v>435</v>
      </c>
      <c r="N435" t="e">
        <f t="shared" ca="1" si="88"/>
        <v>#REF!</v>
      </c>
      <c r="O435" s="150" t="s">
        <v>412</v>
      </c>
      <c r="P435" s="150" t="s">
        <v>428</v>
      </c>
      <c r="Q435" s="150" t="s">
        <v>399</v>
      </c>
      <c r="R435" t="e">
        <f t="shared" ca="1" si="89"/>
        <v>#REF!</v>
      </c>
      <c r="S435" t="s">
        <v>398</v>
      </c>
      <c r="T435" t="s">
        <v>448</v>
      </c>
      <c r="U435" t="str">
        <f t="shared" ca="1" si="81"/>
        <v>Sheets("Master Data").Range("0" &amp; RowNo).Value</v>
      </c>
      <c r="V435" t="e">
        <f t="shared" ca="1" si="90"/>
        <v>#REF!</v>
      </c>
      <c r="X435" t="e">
        <f t="shared" ca="1" si="82"/>
        <v>#REF!</v>
      </c>
      <c r="Z435" t="e">
        <f t="shared" ca="1" si="83"/>
        <v>#REF!</v>
      </c>
      <c r="AB435" t="e">
        <f t="shared" ca="1" si="91"/>
        <v>#REF!</v>
      </c>
      <c r="AD435" t="e">
        <f t="shared" ca="1" si="92"/>
        <v>#REF!</v>
      </c>
    </row>
    <row r="436" spans="1:30" x14ac:dyDescent="0.3">
      <c r="A436" s="150">
        <v>429</v>
      </c>
      <c r="B436" s="150" t="str">
        <f t="shared" si="84"/>
        <v>PM1</v>
      </c>
      <c r="D436" t="s">
        <v>416</v>
      </c>
      <c r="E436">
        <f t="shared" ca="1" si="85"/>
        <v>0</v>
      </c>
      <c r="F436" t="e">
        <f t="shared" ca="1" si="93"/>
        <v>#REF!</v>
      </c>
      <c r="G436" t="s">
        <v>417</v>
      </c>
      <c r="H436" t="s">
        <v>421</v>
      </c>
      <c r="I436" t="e">
        <f t="shared" ca="1" si="86"/>
        <v>#REF!</v>
      </c>
      <c r="J436" t="e">
        <f t="shared" ca="1" si="87"/>
        <v>#REF!</v>
      </c>
      <c r="K436" t="s">
        <v>431</v>
      </c>
      <c r="L436" s="150" t="s">
        <v>423</v>
      </c>
      <c r="M436" s="150" t="s">
        <v>435</v>
      </c>
      <c r="N436" t="e">
        <f t="shared" ca="1" si="88"/>
        <v>#REF!</v>
      </c>
      <c r="O436" s="150" t="s">
        <v>412</v>
      </c>
      <c r="P436" s="150" t="s">
        <v>428</v>
      </c>
      <c r="Q436" s="150" t="s">
        <v>399</v>
      </c>
      <c r="R436" t="e">
        <f t="shared" ca="1" si="89"/>
        <v>#REF!</v>
      </c>
      <c r="S436" t="s">
        <v>398</v>
      </c>
      <c r="T436" t="s">
        <v>448</v>
      </c>
      <c r="U436" t="str">
        <f t="shared" ca="1" si="81"/>
        <v>Sheets("Master Data").Range("0" &amp; RowNo).Value</v>
      </c>
      <c r="V436" t="e">
        <f t="shared" ca="1" si="90"/>
        <v>#REF!</v>
      </c>
      <c r="X436" t="e">
        <f t="shared" ca="1" si="82"/>
        <v>#REF!</v>
      </c>
      <c r="Z436" t="e">
        <f t="shared" ca="1" si="83"/>
        <v>#REF!</v>
      </c>
      <c r="AB436" t="e">
        <f t="shared" ca="1" si="91"/>
        <v>#REF!</v>
      </c>
      <c r="AD436" t="e">
        <f t="shared" ca="1" si="92"/>
        <v>#REF!</v>
      </c>
    </row>
    <row r="437" spans="1:30" x14ac:dyDescent="0.3">
      <c r="A437" s="150">
        <v>430</v>
      </c>
      <c r="B437" s="150" t="str">
        <f t="shared" si="84"/>
        <v>PN1</v>
      </c>
      <c r="D437" t="s">
        <v>416</v>
      </c>
      <c r="E437">
        <f t="shared" ca="1" si="85"/>
        <v>0</v>
      </c>
      <c r="F437" t="e">
        <f t="shared" ca="1" si="93"/>
        <v>#REF!</v>
      </c>
      <c r="G437" t="s">
        <v>417</v>
      </c>
      <c r="H437" t="s">
        <v>421</v>
      </c>
      <c r="I437" t="e">
        <f t="shared" ca="1" si="86"/>
        <v>#REF!</v>
      </c>
      <c r="J437" t="e">
        <f t="shared" ca="1" si="87"/>
        <v>#REF!</v>
      </c>
      <c r="K437" t="s">
        <v>431</v>
      </c>
      <c r="L437" s="150" t="s">
        <v>423</v>
      </c>
      <c r="M437" s="150" t="s">
        <v>435</v>
      </c>
      <c r="N437" t="e">
        <f t="shared" ca="1" si="88"/>
        <v>#REF!</v>
      </c>
      <c r="O437" s="150" t="s">
        <v>412</v>
      </c>
      <c r="P437" s="150" t="s">
        <v>428</v>
      </c>
      <c r="Q437" s="150" t="s">
        <v>399</v>
      </c>
      <c r="R437" t="e">
        <f t="shared" ca="1" si="89"/>
        <v>#REF!</v>
      </c>
      <c r="S437" t="s">
        <v>398</v>
      </c>
      <c r="T437" t="s">
        <v>448</v>
      </c>
      <c r="U437" t="str">
        <f t="shared" ca="1" si="81"/>
        <v>Sheets("Master Data").Range("0" &amp; RowNo).Value</v>
      </c>
      <c r="V437" t="e">
        <f t="shared" ca="1" si="90"/>
        <v>#REF!</v>
      </c>
      <c r="X437" t="e">
        <f t="shared" ca="1" si="82"/>
        <v>#REF!</v>
      </c>
      <c r="Z437" t="e">
        <f t="shared" ca="1" si="83"/>
        <v>#REF!</v>
      </c>
      <c r="AB437" t="e">
        <f t="shared" ca="1" si="91"/>
        <v>#REF!</v>
      </c>
      <c r="AD437" t="e">
        <f t="shared" ca="1" si="92"/>
        <v>#REF!</v>
      </c>
    </row>
    <row r="438" spans="1:30" x14ac:dyDescent="0.3">
      <c r="A438" s="150">
        <v>431</v>
      </c>
      <c r="B438" s="150" t="str">
        <f t="shared" si="84"/>
        <v>PO1</v>
      </c>
      <c r="D438" t="s">
        <v>416</v>
      </c>
      <c r="E438">
        <f t="shared" ca="1" si="85"/>
        <v>0</v>
      </c>
      <c r="F438" t="e">
        <f t="shared" ca="1" si="93"/>
        <v>#REF!</v>
      </c>
      <c r="G438" t="s">
        <v>417</v>
      </c>
      <c r="H438" t="s">
        <v>421</v>
      </c>
      <c r="I438" t="e">
        <f t="shared" ca="1" si="86"/>
        <v>#REF!</v>
      </c>
      <c r="J438" t="e">
        <f t="shared" ca="1" si="87"/>
        <v>#REF!</v>
      </c>
      <c r="K438" t="s">
        <v>431</v>
      </c>
      <c r="L438" s="150" t="s">
        <v>423</v>
      </c>
      <c r="M438" s="150" t="s">
        <v>435</v>
      </c>
      <c r="N438" t="e">
        <f t="shared" ca="1" si="88"/>
        <v>#REF!</v>
      </c>
      <c r="O438" s="150" t="s">
        <v>412</v>
      </c>
      <c r="P438" s="150" t="s">
        <v>428</v>
      </c>
      <c r="Q438" s="150" t="s">
        <v>399</v>
      </c>
      <c r="R438" t="e">
        <f t="shared" ca="1" si="89"/>
        <v>#REF!</v>
      </c>
      <c r="S438" t="s">
        <v>398</v>
      </c>
      <c r="T438" t="s">
        <v>448</v>
      </c>
      <c r="U438" t="str">
        <f t="shared" ca="1" si="81"/>
        <v>Sheets("Master Data").Range("0" &amp; RowNo).Value</v>
      </c>
      <c r="V438" t="e">
        <f t="shared" ca="1" si="90"/>
        <v>#REF!</v>
      </c>
      <c r="X438" t="e">
        <f t="shared" ca="1" si="82"/>
        <v>#REF!</v>
      </c>
      <c r="Z438" t="e">
        <f t="shared" ca="1" si="83"/>
        <v>#REF!</v>
      </c>
      <c r="AB438" t="e">
        <f t="shared" ca="1" si="91"/>
        <v>#REF!</v>
      </c>
      <c r="AD438" t="e">
        <f t="shared" ca="1" si="92"/>
        <v>#REF!</v>
      </c>
    </row>
    <row r="439" spans="1:30" x14ac:dyDescent="0.3">
      <c r="A439" s="150">
        <v>432</v>
      </c>
      <c r="B439" s="150" t="str">
        <f t="shared" si="84"/>
        <v>PP1</v>
      </c>
      <c r="D439" t="s">
        <v>416</v>
      </c>
      <c r="E439">
        <f t="shared" ca="1" si="85"/>
        <v>0</v>
      </c>
      <c r="F439" t="e">
        <f t="shared" ca="1" si="93"/>
        <v>#REF!</v>
      </c>
      <c r="G439" t="s">
        <v>417</v>
      </c>
      <c r="H439" t="s">
        <v>421</v>
      </c>
      <c r="I439" t="e">
        <f t="shared" ca="1" si="86"/>
        <v>#REF!</v>
      </c>
      <c r="J439" t="e">
        <f t="shared" ca="1" si="87"/>
        <v>#REF!</v>
      </c>
      <c r="K439" t="s">
        <v>431</v>
      </c>
      <c r="L439" s="150" t="s">
        <v>423</v>
      </c>
      <c r="M439" s="150" t="s">
        <v>435</v>
      </c>
      <c r="N439" t="e">
        <f t="shared" ca="1" si="88"/>
        <v>#REF!</v>
      </c>
      <c r="O439" s="150" t="s">
        <v>412</v>
      </c>
      <c r="P439" s="150" t="s">
        <v>428</v>
      </c>
      <c r="Q439" s="150" t="s">
        <v>399</v>
      </c>
      <c r="R439" t="e">
        <f t="shared" ca="1" si="89"/>
        <v>#REF!</v>
      </c>
      <c r="S439" t="s">
        <v>398</v>
      </c>
      <c r="T439" t="s">
        <v>448</v>
      </c>
      <c r="U439" t="str">
        <f t="shared" ca="1" si="81"/>
        <v>Sheets("Master Data").Range("0" &amp; RowNo).Value</v>
      </c>
      <c r="V439" t="e">
        <f t="shared" ca="1" si="90"/>
        <v>#REF!</v>
      </c>
      <c r="X439" t="e">
        <f t="shared" ca="1" si="82"/>
        <v>#REF!</v>
      </c>
      <c r="Z439" t="e">
        <f t="shared" ca="1" si="83"/>
        <v>#REF!</v>
      </c>
      <c r="AB439" t="e">
        <f t="shared" ca="1" si="91"/>
        <v>#REF!</v>
      </c>
      <c r="AD439" t="e">
        <f t="shared" ca="1" si="92"/>
        <v>#REF!</v>
      </c>
    </row>
    <row r="440" spans="1:30" x14ac:dyDescent="0.3">
      <c r="A440" s="150">
        <v>433</v>
      </c>
      <c r="B440" s="150" t="str">
        <f t="shared" si="84"/>
        <v>PQ1</v>
      </c>
      <c r="D440" t="s">
        <v>416</v>
      </c>
      <c r="E440">
        <f t="shared" ca="1" si="85"/>
        <v>0</v>
      </c>
      <c r="F440" t="e">
        <f t="shared" ca="1" si="93"/>
        <v>#REF!</v>
      </c>
      <c r="G440" t="s">
        <v>417</v>
      </c>
      <c r="H440" t="s">
        <v>421</v>
      </c>
      <c r="I440" t="e">
        <f t="shared" ca="1" si="86"/>
        <v>#REF!</v>
      </c>
      <c r="J440" t="e">
        <f t="shared" ca="1" si="87"/>
        <v>#REF!</v>
      </c>
      <c r="K440" t="s">
        <v>431</v>
      </c>
      <c r="L440" s="150" t="s">
        <v>423</v>
      </c>
      <c r="M440" s="150" t="s">
        <v>435</v>
      </c>
      <c r="N440" t="e">
        <f t="shared" ca="1" si="88"/>
        <v>#REF!</v>
      </c>
      <c r="O440" s="150" t="s">
        <v>412</v>
      </c>
      <c r="P440" s="150" t="s">
        <v>428</v>
      </c>
      <c r="Q440" s="150" t="s">
        <v>399</v>
      </c>
      <c r="R440" t="e">
        <f t="shared" ca="1" si="89"/>
        <v>#REF!</v>
      </c>
      <c r="S440" t="s">
        <v>398</v>
      </c>
      <c r="T440" t="s">
        <v>448</v>
      </c>
      <c r="U440" t="str">
        <f t="shared" ca="1" si="81"/>
        <v>Sheets("Master Data").Range("0" &amp; RowNo).Value</v>
      </c>
      <c r="V440" t="e">
        <f t="shared" ca="1" si="90"/>
        <v>#REF!</v>
      </c>
      <c r="X440" t="e">
        <f t="shared" ca="1" si="82"/>
        <v>#REF!</v>
      </c>
      <c r="Z440" t="e">
        <f t="shared" ca="1" si="83"/>
        <v>#REF!</v>
      </c>
      <c r="AB440" t="e">
        <f t="shared" ca="1" si="91"/>
        <v>#REF!</v>
      </c>
      <c r="AD440" t="e">
        <f t="shared" ca="1" si="92"/>
        <v>#REF!</v>
      </c>
    </row>
    <row r="441" spans="1:30" x14ac:dyDescent="0.3">
      <c r="A441" s="150">
        <v>434</v>
      </c>
      <c r="B441" s="150" t="str">
        <f t="shared" si="84"/>
        <v>PR1</v>
      </c>
      <c r="D441" t="s">
        <v>416</v>
      </c>
      <c r="E441">
        <f t="shared" ca="1" si="85"/>
        <v>0</v>
      </c>
      <c r="F441" t="e">
        <f t="shared" ca="1" si="93"/>
        <v>#REF!</v>
      </c>
      <c r="G441" t="s">
        <v>417</v>
      </c>
      <c r="H441" t="s">
        <v>421</v>
      </c>
      <c r="I441" t="e">
        <f t="shared" ca="1" si="86"/>
        <v>#REF!</v>
      </c>
      <c r="J441" t="e">
        <f t="shared" ca="1" si="87"/>
        <v>#REF!</v>
      </c>
      <c r="K441" t="s">
        <v>431</v>
      </c>
      <c r="L441" s="150" t="s">
        <v>423</v>
      </c>
      <c r="M441" s="150" t="s">
        <v>435</v>
      </c>
      <c r="N441" t="e">
        <f t="shared" ca="1" si="88"/>
        <v>#REF!</v>
      </c>
      <c r="O441" s="150" t="s">
        <v>412</v>
      </c>
      <c r="P441" s="150" t="s">
        <v>428</v>
      </c>
      <c r="Q441" s="150" t="s">
        <v>399</v>
      </c>
      <c r="R441" t="e">
        <f t="shared" ca="1" si="89"/>
        <v>#REF!</v>
      </c>
      <c r="S441" t="s">
        <v>398</v>
      </c>
      <c r="T441" t="s">
        <v>448</v>
      </c>
      <c r="U441" t="str">
        <f t="shared" ca="1" si="81"/>
        <v>Sheets("Master Data").Range("0" &amp; RowNo).Value</v>
      </c>
      <c r="V441" t="e">
        <f t="shared" ca="1" si="90"/>
        <v>#REF!</v>
      </c>
      <c r="X441" t="e">
        <f t="shared" ca="1" si="82"/>
        <v>#REF!</v>
      </c>
      <c r="Z441" t="e">
        <f t="shared" ca="1" si="83"/>
        <v>#REF!</v>
      </c>
      <c r="AB441" t="e">
        <f t="shared" ca="1" si="91"/>
        <v>#REF!</v>
      </c>
      <c r="AD441" t="e">
        <f t="shared" ca="1" si="92"/>
        <v>#REF!</v>
      </c>
    </row>
    <row r="442" spans="1:30" x14ac:dyDescent="0.3">
      <c r="A442" s="150">
        <v>435</v>
      </c>
      <c r="B442" s="150" t="str">
        <f t="shared" si="84"/>
        <v>PS1</v>
      </c>
      <c r="D442" t="s">
        <v>416</v>
      </c>
      <c r="E442">
        <f t="shared" ca="1" si="85"/>
        <v>0</v>
      </c>
      <c r="F442" t="e">
        <f t="shared" ca="1" si="93"/>
        <v>#REF!</v>
      </c>
      <c r="G442" t="s">
        <v>417</v>
      </c>
      <c r="H442" t="s">
        <v>421</v>
      </c>
      <c r="I442" t="e">
        <f t="shared" ca="1" si="86"/>
        <v>#REF!</v>
      </c>
      <c r="J442" t="e">
        <f t="shared" ca="1" si="87"/>
        <v>#REF!</v>
      </c>
      <c r="K442" t="s">
        <v>431</v>
      </c>
      <c r="L442" s="150" t="s">
        <v>423</v>
      </c>
      <c r="M442" s="150" t="s">
        <v>435</v>
      </c>
      <c r="N442" t="e">
        <f t="shared" ca="1" si="88"/>
        <v>#REF!</v>
      </c>
      <c r="O442" s="150" t="s">
        <v>412</v>
      </c>
      <c r="P442" s="150" t="s">
        <v>428</v>
      </c>
      <c r="Q442" s="150" t="s">
        <v>399</v>
      </c>
      <c r="R442" t="e">
        <f t="shared" ca="1" si="89"/>
        <v>#REF!</v>
      </c>
      <c r="S442" t="s">
        <v>398</v>
      </c>
      <c r="T442" t="s">
        <v>448</v>
      </c>
      <c r="U442" t="str">
        <f t="shared" ca="1" si="81"/>
        <v>Sheets("Master Data").Range("0" &amp; RowNo).Value</v>
      </c>
      <c r="V442" t="e">
        <f t="shared" ca="1" si="90"/>
        <v>#REF!</v>
      </c>
      <c r="X442" t="e">
        <f t="shared" ca="1" si="82"/>
        <v>#REF!</v>
      </c>
      <c r="Z442" t="e">
        <f t="shared" ca="1" si="83"/>
        <v>#REF!</v>
      </c>
      <c r="AB442" t="e">
        <f t="shared" ca="1" si="91"/>
        <v>#REF!</v>
      </c>
      <c r="AD442" t="e">
        <f t="shared" ca="1" si="92"/>
        <v>#REF!</v>
      </c>
    </row>
    <row r="443" spans="1:30" x14ac:dyDescent="0.3">
      <c r="A443" s="150">
        <v>436</v>
      </c>
      <c r="B443" s="150" t="str">
        <f t="shared" si="84"/>
        <v>PT1</v>
      </c>
      <c r="D443" t="s">
        <v>416</v>
      </c>
      <c r="E443">
        <f t="shared" ca="1" si="85"/>
        <v>0</v>
      </c>
      <c r="F443" t="e">
        <f t="shared" ca="1" si="93"/>
        <v>#REF!</v>
      </c>
      <c r="G443" t="s">
        <v>417</v>
      </c>
      <c r="H443" t="s">
        <v>421</v>
      </c>
      <c r="I443" t="e">
        <f t="shared" ca="1" si="86"/>
        <v>#REF!</v>
      </c>
      <c r="J443" t="e">
        <f t="shared" ca="1" si="87"/>
        <v>#REF!</v>
      </c>
      <c r="K443" t="s">
        <v>431</v>
      </c>
      <c r="L443" s="150" t="s">
        <v>423</v>
      </c>
      <c r="M443" s="150" t="s">
        <v>435</v>
      </c>
      <c r="N443" t="e">
        <f t="shared" ca="1" si="88"/>
        <v>#REF!</v>
      </c>
      <c r="O443" s="150" t="s">
        <v>412</v>
      </c>
      <c r="P443" s="150" t="s">
        <v>428</v>
      </c>
      <c r="Q443" s="150" t="s">
        <v>399</v>
      </c>
      <c r="R443" t="e">
        <f t="shared" ca="1" si="89"/>
        <v>#REF!</v>
      </c>
      <c r="S443" t="s">
        <v>398</v>
      </c>
      <c r="T443" t="s">
        <v>448</v>
      </c>
      <c r="U443" t="str">
        <f t="shared" ca="1" si="81"/>
        <v>Sheets("Master Data").Range("0" &amp; RowNo).Value</v>
      </c>
      <c r="V443" t="e">
        <f t="shared" ca="1" si="90"/>
        <v>#REF!</v>
      </c>
      <c r="X443" t="e">
        <f t="shared" ca="1" si="82"/>
        <v>#REF!</v>
      </c>
      <c r="Z443" t="e">
        <f t="shared" ca="1" si="83"/>
        <v>#REF!</v>
      </c>
      <c r="AB443" t="e">
        <f t="shared" ca="1" si="91"/>
        <v>#REF!</v>
      </c>
      <c r="AD443" t="e">
        <f t="shared" ca="1" si="92"/>
        <v>#REF!</v>
      </c>
    </row>
    <row r="444" spans="1:30" x14ac:dyDescent="0.3">
      <c r="A444" s="150">
        <v>437</v>
      </c>
      <c r="B444" s="150" t="str">
        <f t="shared" si="84"/>
        <v>PU1</v>
      </c>
      <c r="D444" t="s">
        <v>416</v>
      </c>
      <c r="E444">
        <f t="shared" ca="1" si="85"/>
        <v>0</v>
      </c>
      <c r="F444" t="e">
        <f t="shared" ca="1" si="93"/>
        <v>#REF!</v>
      </c>
      <c r="G444" t="s">
        <v>417</v>
      </c>
      <c r="H444" t="s">
        <v>421</v>
      </c>
      <c r="I444" t="e">
        <f t="shared" ca="1" si="86"/>
        <v>#REF!</v>
      </c>
      <c r="J444" t="e">
        <f t="shared" ca="1" si="87"/>
        <v>#REF!</v>
      </c>
      <c r="K444" t="s">
        <v>431</v>
      </c>
      <c r="L444" s="150" t="s">
        <v>423</v>
      </c>
      <c r="M444" s="150" t="s">
        <v>435</v>
      </c>
      <c r="N444" t="e">
        <f t="shared" ca="1" si="88"/>
        <v>#REF!</v>
      </c>
      <c r="O444" s="150" t="s">
        <v>412</v>
      </c>
      <c r="P444" s="150" t="s">
        <v>428</v>
      </c>
      <c r="Q444" s="150" t="s">
        <v>399</v>
      </c>
      <c r="R444" t="e">
        <f t="shared" ca="1" si="89"/>
        <v>#REF!</v>
      </c>
      <c r="S444" t="s">
        <v>398</v>
      </c>
      <c r="T444" t="s">
        <v>448</v>
      </c>
      <c r="U444" t="str">
        <f t="shared" ca="1" si="81"/>
        <v>Sheets("Master Data").Range("0" &amp; RowNo).Value</v>
      </c>
      <c r="V444" t="e">
        <f t="shared" ca="1" si="90"/>
        <v>#REF!</v>
      </c>
      <c r="X444" t="e">
        <f t="shared" ca="1" si="82"/>
        <v>#REF!</v>
      </c>
      <c r="Z444" t="e">
        <f t="shared" ca="1" si="83"/>
        <v>#REF!</v>
      </c>
      <c r="AB444" t="e">
        <f t="shared" ca="1" si="91"/>
        <v>#REF!</v>
      </c>
      <c r="AD444" t="e">
        <f t="shared" ca="1" si="92"/>
        <v>#REF!</v>
      </c>
    </row>
    <row r="445" spans="1:30" x14ac:dyDescent="0.3">
      <c r="A445" s="150">
        <v>438</v>
      </c>
      <c r="B445" s="150" t="str">
        <f t="shared" si="84"/>
        <v>PV1</v>
      </c>
      <c r="D445" t="s">
        <v>416</v>
      </c>
      <c r="E445">
        <f t="shared" ca="1" si="85"/>
        <v>0</v>
      </c>
      <c r="F445" t="e">
        <f t="shared" ca="1" si="93"/>
        <v>#REF!</v>
      </c>
      <c r="G445" t="s">
        <v>417</v>
      </c>
      <c r="H445" t="s">
        <v>421</v>
      </c>
      <c r="I445" t="e">
        <f t="shared" ca="1" si="86"/>
        <v>#REF!</v>
      </c>
      <c r="J445" t="e">
        <f t="shared" ca="1" si="87"/>
        <v>#REF!</v>
      </c>
      <c r="K445" t="s">
        <v>431</v>
      </c>
      <c r="L445" s="150" t="s">
        <v>423</v>
      </c>
      <c r="M445" s="150" t="s">
        <v>435</v>
      </c>
      <c r="N445" t="e">
        <f t="shared" ca="1" si="88"/>
        <v>#REF!</v>
      </c>
      <c r="O445" s="150" t="s">
        <v>412</v>
      </c>
      <c r="P445" s="150" t="s">
        <v>428</v>
      </c>
      <c r="Q445" s="150" t="s">
        <v>399</v>
      </c>
      <c r="R445" t="e">
        <f t="shared" ca="1" si="89"/>
        <v>#REF!</v>
      </c>
      <c r="S445" t="s">
        <v>398</v>
      </c>
      <c r="T445" t="s">
        <v>448</v>
      </c>
      <c r="U445" t="str">
        <f t="shared" ca="1" si="81"/>
        <v>Sheets("Master Data").Range("0" &amp; RowNo).Value</v>
      </c>
      <c r="V445" t="e">
        <f t="shared" ca="1" si="90"/>
        <v>#REF!</v>
      </c>
      <c r="X445" t="e">
        <f t="shared" ca="1" si="82"/>
        <v>#REF!</v>
      </c>
      <c r="Z445" t="e">
        <f t="shared" ca="1" si="83"/>
        <v>#REF!</v>
      </c>
      <c r="AB445" t="e">
        <f t="shared" ca="1" si="91"/>
        <v>#REF!</v>
      </c>
      <c r="AD445" t="e">
        <f t="shared" ca="1" si="92"/>
        <v>#REF!</v>
      </c>
    </row>
    <row r="446" spans="1:30" x14ac:dyDescent="0.3">
      <c r="A446" s="150">
        <v>439</v>
      </c>
      <c r="B446" s="150" t="str">
        <f t="shared" si="84"/>
        <v>PW1</v>
      </c>
      <c r="D446" t="s">
        <v>416</v>
      </c>
      <c r="E446">
        <f t="shared" ca="1" si="85"/>
        <v>0</v>
      </c>
      <c r="F446" t="e">
        <f t="shared" ca="1" si="93"/>
        <v>#REF!</v>
      </c>
      <c r="G446" t="s">
        <v>417</v>
      </c>
      <c r="H446" t="s">
        <v>421</v>
      </c>
      <c r="I446" t="e">
        <f t="shared" ca="1" si="86"/>
        <v>#REF!</v>
      </c>
      <c r="J446" t="e">
        <f t="shared" ca="1" si="87"/>
        <v>#REF!</v>
      </c>
      <c r="K446" t="s">
        <v>431</v>
      </c>
      <c r="L446" s="150" t="s">
        <v>423</v>
      </c>
      <c r="M446" s="150" t="s">
        <v>435</v>
      </c>
      <c r="N446" t="e">
        <f t="shared" ca="1" si="88"/>
        <v>#REF!</v>
      </c>
      <c r="O446" s="150" t="s">
        <v>412</v>
      </c>
      <c r="P446" s="150" t="s">
        <v>428</v>
      </c>
      <c r="Q446" s="150" t="s">
        <v>399</v>
      </c>
      <c r="R446" t="e">
        <f t="shared" ca="1" si="89"/>
        <v>#REF!</v>
      </c>
      <c r="S446" t="s">
        <v>398</v>
      </c>
      <c r="T446" t="s">
        <v>448</v>
      </c>
      <c r="U446" t="str">
        <f t="shared" ca="1" si="81"/>
        <v>Sheets("Master Data").Range("0" &amp; RowNo).Value</v>
      </c>
      <c r="V446" t="e">
        <f t="shared" ca="1" si="90"/>
        <v>#REF!</v>
      </c>
      <c r="X446" t="e">
        <f t="shared" ca="1" si="82"/>
        <v>#REF!</v>
      </c>
      <c r="Z446" t="e">
        <f t="shared" ca="1" si="83"/>
        <v>#REF!</v>
      </c>
      <c r="AB446" t="e">
        <f t="shared" ca="1" si="91"/>
        <v>#REF!</v>
      </c>
      <c r="AD446" t="e">
        <f t="shared" ca="1" si="92"/>
        <v>#REF!</v>
      </c>
    </row>
    <row r="447" spans="1:30" x14ac:dyDescent="0.3">
      <c r="A447" s="150">
        <v>440</v>
      </c>
      <c r="B447" s="150" t="str">
        <f t="shared" si="84"/>
        <v>PX1</v>
      </c>
      <c r="D447" t="s">
        <v>416</v>
      </c>
      <c r="E447">
        <f t="shared" ca="1" si="85"/>
        <v>0</v>
      </c>
      <c r="F447" t="e">
        <f t="shared" ca="1" si="93"/>
        <v>#REF!</v>
      </c>
      <c r="G447" t="s">
        <v>417</v>
      </c>
      <c r="H447" t="s">
        <v>421</v>
      </c>
      <c r="I447" t="e">
        <f t="shared" ca="1" si="86"/>
        <v>#REF!</v>
      </c>
      <c r="J447" t="e">
        <f t="shared" ca="1" si="87"/>
        <v>#REF!</v>
      </c>
      <c r="K447" t="s">
        <v>431</v>
      </c>
      <c r="L447" s="150" t="s">
        <v>423</v>
      </c>
      <c r="M447" s="150" t="s">
        <v>435</v>
      </c>
      <c r="N447" t="e">
        <f t="shared" ca="1" si="88"/>
        <v>#REF!</v>
      </c>
      <c r="O447" s="150" t="s">
        <v>412</v>
      </c>
      <c r="P447" s="150" t="s">
        <v>428</v>
      </c>
      <c r="Q447" s="150" t="s">
        <v>399</v>
      </c>
      <c r="R447" t="e">
        <f t="shared" ca="1" si="89"/>
        <v>#REF!</v>
      </c>
      <c r="S447" t="s">
        <v>398</v>
      </c>
      <c r="T447" t="s">
        <v>448</v>
      </c>
      <c r="U447" t="str">
        <f t="shared" ca="1" si="81"/>
        <v>Sheets("Master Data").Range("0" &amp; RowNo).Value</v>
      </c>
      <c r="V447" t="e">
        <f t="shared" ca="1" si="90"/>
        <v>#REF!</v>
      </c>
      <c r="X447" t="e">
        <f t="shared" ca="1" si="82"/>
        <v>#REF!</v>
      </c>
      <c r="Z447" t="e">
        <f t="shared" ca="1" si="83"/>
        <v>#REF!</v>
      </c>
      <c r="AB447" t="e">
        <f t="shared" ca="1" si="91"/>
        <v>#REF!</v>
      </c>
      <c r="AD447" t="e">
        <f t="shared" ca="1" si="92"/>
        <v>#REF!</v>
      </c>
    </row>
    <row r="448" spans="1:30" x14ac:dyDescent="0.3">
      <c r="A448" s="150">
        <v>441</v>
      </c>
      <c r="B448" s="150" t="str">
        <f t="shared" si="84"/>
        <v>PY1</v>
      </c>
      <c r="D448" t="s">
        <v>416</v>
      </c>
      <c r="E448">
        <f t="shared" ca="1" si="85"/>
        <v>0</v>
      </c>
      <c r="F448" t="e">
        <f t="shared" ca="1" si="93"/>
        <v>#REF!</v>
      </c>
      <c r="G448" t="s">
        <v>417</v>
      </c>
      <c r="H448" t="s">
        <v>421</v>
      </c>
      <c r="I448" t="e">
        <f t="shared" ca="1" si="86"/>
        <v>#REF!</v>
      </c>
      <c r="J448" t="e">
        <f t="shared" ca="1" si="87"/>
        <v>#REF!</v>
      </c>
      <c r="K448" t="s">
        <v>431</v>
      </c>
      <c r="L448" s="150" t="s">
        <v>423</v>
      </c>
      <c r="M448" s="150" t="s">
        <v>435</v>
      </c>
      <c r="N448" t="e">
        <f t="shared" ca="1" si="88"/>
        <v>#REF!</v>
      </c>
      <c r="O448" s="150" t="s">
        <v>412</v>
      </c>
      <c r="P448" s="150" t="s">
        <v>428</v>
      </c>
      <c r="Q448" s="150" t="s">
        <v>399</v>
      </c>
      <c r="R448" t="e">
        <f t="shared" ca="1" si="89"/>
        <v>#REF!</v>
      </c>
      <c r="S448" t="s">
        <v>398</v>
      </c>
      <c r="T448" t="s">
        <v>448</v>
      </c>
      <c r="U448" t="str">
        <f t="shared" ca="1" si="81"/>
        <v>Sheets("Master Data").Range("0" &amp; RowNo).Value</v>
      </c>
      <c r="V448" t="e">
        <f t="shared" ca="1" si="90"/>
        <v>#REF!</v>
      </c>
      <c r="X448" t="e">
        <f t="shared" ca="1" si="82"/>
        <v>#REF!</v>
      </c>
      <c r="Z448" t="e">
        <f t="shared" ca="1" si="83"/>
        <v>#REF!</v>
      </c>
      <c r="AB448" t="e">
        <f t="shared" ca="1" si="91"/>
        <v>#REF!</v>
      </c>
      <c r="AD448" t="e">
        <f t="shared" ca="1" si="92"/>
        <v>#REF!</v>
      </c>
    </row>
    <row r="449" spans="1:30" x14ac:dyDescent="0.3">
      <c r="A449" s="150">
        <v>442</v>
      </c>
      <c r="B449" s="150" t="str">
        <f t="shared" si="84"/>
        <v>PZ1</v>
      </c>
      <c r="D449" t="s">
        <v>416</v>
      </c>
      <c r="E449">
        <f t="shared" ca="1" si="85"/>
        <v>0</v>
      </c>
      <c r="F449" t="e">
        <f t="shared" ca="1" si="93"/>
        <v>#REF!</v>
      </c>
      <c r="G449" t="s">
        <v>417</v>
      </c>
      <c r="H449" t="s">
        <v>421</v>
      </c>
      <c r="I449" t="e">
        <f t="shared" ca="1" si="86"/>
        <v>#REF!</v>
      </c>
      <c r="J449" t="e">
        <f t="shared" ca="1" si="87"/>
        <v>#REF!</v>
      </c>
      <c r="K449" t="s">
        <v>431</v>
      </c>
      <c r="L449" s="150" t="s">
        <v>423</v>
      </c>
      <c r="M449" s="150" t="s">
        <v>435</v>
      </c>
      <c r="N449" t="e">
        <f t="shared" ca="1" si="88"/>
        <v>#REF!</v>
      </c>
      <c r="O449" s="150" t="s">
        <v>412</v>
      </c>
      <c r="P449" s="150" t="s">
        <v>428</v>
      </c>
      <c r="Q449" s="150" t="s">
        <v>399</v>
      </c>
      <c r="R449" t="e">
        <f t="shared" ca="1" si="89"/>
        <v>#REF!</v>
      </c>
      <c r="S449" t="s">
        <v>398</v>
      </c>
      <c r="T449" t="s">
        <v>448</v>
      </c>
      <c r="U449" t="str">
        <f t="shared" ca="1" si="81"/>
        <v>Sheets("Master Data").Range("0" &amp; RowNo).Value</v>
      </c>
      <c r="V449" t="e">
        <f t="shared" ca="1" si="90"/>
        <v>#REF!</v>
      </c>
      <c r="X449" t="e">
        <f t="shared" ca="1" si="82"/>
        <v>#REF!</v>
      </c>
      <c r="Z449" t="e">
        <f t="shared" ca="1" si="83"/>
        <v>#REF!</v>
      </c>
      <c r="AB449" t="e">
        <f t="shared" ca="1" si="91"/>
        <v>#REF!</v>
      </c>
      <c r="AD449" t="e">
        <f t="shared" ca="1" si="92"/>
        <v>#REF!</v>
      </c>
    </row>
    <row r="450" spans="1:30" x14ac:dyDescent="0.3">
      <c r="A450" s="150">
        <v>443</v>
      </c>
      <c r="B450" s="150" t="str">
        <f t="shared" si="84"/>
        <v>QA1</v>
      </c>
      <c r="D450" t="s">
        <v>416</v>
      </c>
      <c r="E450">
        <f t="shared" ca="1" si="85"/>
        <v>0</v>
      </c>
      <c r="F450" t="e">
        <f t="shared" ca="1" si="93"/>
        <v>#REF!</v>
      </c>
      <c r="G450" t="s">
        <v>417</v>
      </c>
      <c r="H450" t="s">
        <v>421</v>
      </c>
      <c r="I450" t="e">
        <f t="shared" ca="1" si="86"/>
        <v>#REF!</v>
      </c>
      <c r="J450" t="e">
        <f t="shared" ca="1" si="87"/>
        <v>#REF!</v>
      </c>
      <c r="K450" t="s">
        <v>431</v>
      </c>
      <c r="L450" s="150" t="s">
        <v>423</v>
      </c>
      <c r="M450" s="150" t="s">
        <v>435</v>
      </c>
      <c r="N450" t="e">
        <f t="shared" ca="1" si="88"/>
        <v>#REF!</v>
      </c>
      <c r="O450" s="150" t="s">
        <v>412</v>
      </c>
      <c r="P450" s="150" t="s">
        <v>428</v>
      </c>
      <c r="Q450" s="150" t="s">
        <v>399</v>
      </c>
      <c r="R450" t="e">
        <f t="shared" ca="1" si="89"/>
        <v>#REF!</v>
      </c>
      <c r="S450" t="s">
        <v>398</v>
      </c>
      <c r="T450" t="s">
        <v>448</v>
      </c>
      <c r="U450" t="str">
        <f t="shared" ca="1" si="81"/>
        <v>Sheets("Master Data").Range("0" &amp; RowNo).Value</v>
      </c>
      <c r="V450" t="e">
        <f t="shared" ca="1" si="90"/>
        <v>#REF!</v>
      </c>
      <c r="X450" t="e">
        <f t="shared" ca="1" si="82"/>
        <v>#REF!</v>
      </c>
      <c r="Z450" t="e">
        <f t="shared" ca="1" si="83"/>
        <v>#REF!</v>
      </c>
      <c r="AB450" t="e">
        <f t="shared" ca="1" si="91"/>
        <v>#REF!</v>
      </c>
      <c r="AD450" t="e">
        <f t="shared" ca="1" si="92"/>
        <v>#REF!</v>
      </c>
    </row>
    <row r="451" spans="1:30" x14ac:dyDescent="0.3">
      <c r="A451" s="150">
        <v>444</v>
      </c>
      <c r="B451" s="150" t="str">
        <f t="shared" si="84"/>
        <v>QB1</v>
      </c>
      <c r="D451" t="s">
        <v>416</v>
      </c>
      <c r="E451">
        <f t="shared" ca="1" si="85"/>
        <v>0</v>
      </c>
      <c r="F451" t="e">
        <f t="shared" ca="1" si="93"/>
        <v>#REF!</v>
      </c>
      <c r="G451" t="s">
        <v>417</v>
      </c>
      <c r="H451" t="s">
        <v>421</v>
      </c>
      <c r="I451" t="e">
        <f t="shared" ca="1" si="86"/>
        <v>#REF!</v>
      </c>
      <c r="J451" t="e">
        <f t="shared" ca="1" si="87"/>
        <v>#REF!</v>
      </c>
      <c r="K451" t="s">
        <v>431</v>
      </c>
      <c r="L451" s="150" t="s">
        <v>423</v>
      </c>
      <c r="M451" s="150" t="s">
        <v>435</v>
      </c>
      <c r="N451" t="e">
        <f t="shared" ca="1" si="88"/>
        <v>#REF!</v>
      </c>
      <c r="O451" s="150" t="s">
        <v>412</v>
      </c>
      <c r="P451" s="150" t="s">
        <v>428</v>
      </c>
      <c r="Q451" s="150" t="s">
        <v>399</v>
      </c>
      <c r="R451" t="e">
        <f t="shared" ca="1" si="89"/>
        <v>#REF!</v>
      </c>
      <c r="S451" t="s">
        <v>398</v>
      </c>
      <c r="T451" t="s">
        <v>448</v>
      </c>
      <c r="U451" t="str">
        <f t="shared" ca="1" si="81"/>
        <v>Sheets("Master Data").Range("0" &amp; RowNo).Value</v>
      </c>
      <c r="V451" t="e">
        <f t="shared" ca="1" si="90"/>
        <v>#REF!</v>
      </c>
      <c r="X451" t="e">
        <f t="shared" ca="1" si="82"/>
        <v>#REF!</v>
      </c>
      <c r="Z451" t="e">
        <f t="shared" ca="1" si="83"/>
        <v>#REF!</v>
      </c>
      <c r="AB451" t="e">
        <f t="shared" ca="1" si="91"/>
        <v>#REF!</v>
      </c>
      <c r="AD451" t="e">
        <f t="shared" ca="1" si="92"/>
        <v>#REF!</v>
      </c>
    </row>
    <row r="452" spans="1:30" x14ac:dyDescent="0.3">
      <c r="A452" s="150">
        <v>445</v>
      </c>
      <c r="B452" s="150" t="str">
        <f t="shared" si="84"/>
        <v>QC1</v>
      </c>
      <c r="D452" t="s">
        <v>416</v>
      </c>
      <c r="E452">
        <f t="shared" ca="1" si="85"/>
        <v>0</v>
      </c>
      <c r="F452" t="e">
        <f t="shared" ca="1" si="93"/>
        <v>#REF!</v>
      </c>
      <c r="G452" t="s">
        <v>417</v>
      </c>
      <c r="H452" t="s">
        <v>421</v>
      </c>
      <c r="I452" t="e">
        <f t="shared" ca="1" si="86"/>
        <v>#REF!</v>
      </c>
      <c r="J452" t="e">
        <f t="shared" ca="1" si="87"/>
        <v>#REF!</v>
      </c>
      <c r="K452" t="s">
        <v>431</v>
      </c>
      <c r="L452" s="150" t="s">
        <v>423</v>
      </c>
      <c r="M452" s="150" t="s">
        <v>435</v>
      </c>
      <c r="N452" t="e">
        <f t="shared" ca="1" si="88"/>
        <v>#REF!</v>
      </c>
      <c r="O452" s="150" t="s">
        <v>412</v>
      </c>
      <c r="P452" s="150" t="s">
        <v>428</v>
      </c>
      <c r="Q452" s="150" t="s">
        <v>399</v>
      </c>
      <c r="R452" t="e">
        <f t="shared" ca="1" si="89"/>
        <v>#REF!</v>
      </c>
      <c r="S452" t="s">
        <v>398</v>
      </c>
      <c r="T452" t="s">
        <v>448</v>
      </c>
      <c r="U452" t="str">
        <f t="shared" ca="1" si="81"/>
        <v>Sheets("Master Data").Range("0" &amp; RowNo).Value</v>
      </c>
      <c r="V452" t="e">
        <f t="shared" ca="1" si="90"/>
        <v>#REF!</v>
      </c>
      <c r="X452" t="e">
        <f t="shared" ca="1" si="82"/>
        <v>#REF!</v>
      </c>
      <c r="Z452" t="e">
        <f t="shared" ca="1" si="83"/>
        <v>#REF!</v>
      </c>
      <c r="AB452" t="e">
        <f t="shared" ca="1" si="91"/>
        <v>#REF!</v>
      </c>
      <c r="AD452" t="e">
        <f t="shared" ca="1" si="92"/>
        <v>#REF!</v>
      </c>
    </row>
    <row r="453" spans="1:30" x14ac:dyDescent="0.3">
      <c r="A453" s="150">
        <v>446</v>
      </c>
      <c r="B453" s="150" t="str">
        <f t="shared" si="84"/>
        <v>QD1</v>
      </c>
      <c r="D453" t="s">
        <v>416</v>
      </c>
      <c r="E453">
        <f t="shared" ca="1" si="85"/>
        <v>0</v>
      </c>
      <c r="F453" t="e">
        <f t="shared" ca="1" si="93"/>
        <v>#REF!</v>
      </c>
      <c r="G453" t="s">
        <v>417</v>
      </c>
      <c r="H453" t="s">
        <v>421</v>
      </c>
      <c r="I453" t="e">
        <f t="shared" ca="1" si="86"/>
        <v>#REF!</v>
      </c>
      <c r="J453" t="e">
        <f t="shared" ca="1" si="87"/>
        <v>#REF!</v>
      </c>
      <c r="K453" t="s">
        <v>431</v>
      </c>
      <c r="L453" s="150" t="s">
        <v>423</v>
      </c>
      <c r="M453" s="150" t="s">
        <v>435</v>
      </c>
      <c r="N453" t="e">
        <f t="shared" ca="1" si="88"/>
        <v>#REF!</v>
      </c>
      <c r="O453" s="150" t="s">
        <v>412</v>
      </c>
      <c r="P453" s="150" t="s">
        <v>428</v>
      </c>
      <c r="Q453" s="150" t="s">
        <v>399</v>
      </c>
      <c r="R453" t="e">
        <f t="shared" ca="1" si="89"/>
        <v>#REF!</v>
      </c>
      <c r="S453" t="s">
        <v>398</v>
      </c>
      <c r="T453" t="s">
        <v>448</v>
      </c>
      <c r="U453" t="str">
        <f t="shared" ca="1" si="81"/>
        <v>Sheets("Master Data").Range("0" &amp; RowNo).Value</v>
      </c>
      <c r="V453" t="e">
        <f t="shared" ca="1" si="90"/>
        <v>#REF!</v>
      </c>
      <c r="X453" t="e">
        <f t="shared" ca="1" si="82"/>
        <v>#REF!</v>
      </c>
      <c r="Z453" t="e">
        <f t="shared" ca="1" si="83"/>
        <v>#REF!</v>
      </c>
      <c r="AB453" t="e">
        <f t="shared" ca="1" si="91"/>
        <v>#REF!</v>
      </c>
      <c r="AD453" t="e">
        <f t="shared" ca="1" si="92"/>
        <v>#REF!</v>
      </c>
    </row>
    <row r="454" spans="1:30" x14ac:dyDescent="0.3">
      <c r="A454" s="150">
        <v>447</v>
      </c>
      <c r="B454" s="150" t="str">
        <f t="shared" si="84"/>
        <v>QE1</v>
      </c>
      <c r="D454" t="s">
        <v>416</v>
      </c>
      <c r="E454">
        <f t="shared" ca="1" si="85"/>
        <v>0</v>
      </c>
      <c r="F454" t="e">
        <f t="shared" ca="1" si="93"/>
        <v>#REF!</v>
      </c>
      <c r="G454" t="s">
        <v>417</v>
      </c>
      <c r="H454" t="s">
        <v>421</v>
      </c>
      <c r="I454" t="e">
        <f t="shared" ca="1" si="86"/>
        <v>#REF!</v>
      </c>
      <c r="J454" t="e">
        <f t="shared" ca="1" si="87"/>
        <v>#REF!</v>
      </c>
      <c r="K454" t="s">
        <v>431</v>
      </c>
      <c r="L454" s="150" t="s">
        <v>423</v>
      </c>
      <c r="M454" s="150" t="s">
        <v>435</v>
      </c>
      <c r="N454" t="e">
        <f t="shared" ca="1" si="88"/>
        <v>#REF!</v>
      </c>
      <c r="O454" s="150" t="s">
        <v>412</v>
      </c>
      <c r="P454" s="150" t="s">
        <v>428</v>
      </c>
      <c r="Q454" s="150" t="s">
        <v>399</v>
      </c>
      <c r="R454" t="e">
        <f t="shared" ca="1" si="89"/>
        <v>#REF!</v>
      </c>
      <c r="S454" t="s">
        <v>398</v>
      </c>
      <c r="T454" t="s">
        <v>448</v>
      </c>
      <c r="U454" t="str">
        <f t="shared" ca="1" si="81"/>
        <v>Sheets("Master Data").Range("0" &amp; RowNo).Value</v>
      </c>
      <c r="V454" t="e">
        <f t="shared" ca="1" si="90"/>
        <v>#REF!</v>
      </c>
      <c r="X454" t="e">
        <f t="shared" ca="1" si="82"/>
        <v>#REF!</v>
      </c>
      <c r="Z454" t="e">
        <f t="shared" ca="1" si="83"/>
        <v>#REF!</v>
      </c>
      <c r="AB454" t="e">
        <f t="shared" ca="1" si="91"/>
        <v>#REF!</v>
      </c>
      <c r="AD454" t="e">
        <f t="shared" ca="1" si="92"/>
        <v>#REF!</v>
      </c>
    </row>
    <row r="455" spans="1:30" x14ac:dyDescent="0.3">
      <c r="A455" s="150">
        <v>448</v>
      </c>
      <c r="B455" s="150" t="str">
        <f t="shared" si="84"/>
        <v>QF1</v>
      </c>
      <c r="D455" t="s">
        <v>416</v>
      </c>
      <c r="E455">
        <f t="shared" ca="1" si="85"/>
        <v>0</v>
      </c>
      <c r="F455" t="e">
        <f t="shared" ca="1" si="93"/>
        <v>#REF!</v>
      </c>
      <c r="G455" t="s">
        <v>417</v>
      </c>
      <c r="H455" t="s">
        <v>421</v>
      </c>
      <c r="I455" t="e">
        <f t="shared" ca="1" si="86"/>
        <v>#REF!</v>
      </c>
      <c r="J455" t="e">
        <f t="shared" ca="1" si="87"/>
        <v>#REF!</v>
      </c>
      <c r="K455" t="s">
        <v>431</v>
      </c>
      <c r="L455" s="150" t="s">
        <v>423</v>
      </c>
      <c r="M455" s="150" t="s">
        <v>435</v>
      </c>
      <c r="N455" t="e">
        <f t="shared" ca="1" si="88"/>
        <v>#REF!</v>
      </c>
      <c r="O455" s="150" t="s">
        <v>412</v>
      </c>
      <c r="P455" s="150" t="s">
        <v>428</v>
      </c>
      <c r="Q455" s="150" t="s">
        <v>399</v>
      </c>
      <c r="R455" t="e">
        <f t="shared" ca="1" si="89"/>
        <v>#REF!</v>
      </c>
      <c r="S455" t="s">
        <v>398</v>
      </c>
      <c r="T455" t="s">
        <v>448</v>
      </c>
      <c r="U455" t="str">
        <f t="shared" ca="1" si="81"/>
        <v>Sheets("Master Data").Range("0" &amp; RowNo).Value</v>
      </c>
      <c r="V455" t="e">
        <f t="shared" ca="1" si="90"/>
        <v>#REF!</v>
      </c>
      <c r="X455" t="e">
        <f t="shared" ca="1" si="82"/>
        <v>#REF!</v>
      </c>
      <c r="Z455" t="e">
        <f t="shared" ca="1" si="83"/>
        <v>#REF!</v>
      </c>
      <c r="AB455" t="e">
        <f t="shared" ca="1" si="91"/>
        <v>#REF!</v>
      </c>
      <c r="AD455" t="e">
        <f t="shared" ca="1" si="92"/>
        <v>#REF!</v>
      </c>
    </row>
    <row r="456" spans="1:30" x14ac:dyDescent="0.3">
      <c r="A456" s="150">
        <v>449</v>
      </c>
      <c r="B456" s="150" t="str">
        <f t="shared" si="84"/>
        <v>QG1</v>
      </c>
      <c r="D456" t="s">
        <v>416</v>
      </c>
      <c r="E456">
        <f t="shared" ca="1" si="85"/>
        <v>0</v>
      </c>
      <c r="F456" t="e">
        <f t="shared" ca="1" si="93"/>
        <v>#REF!</v>
      </c>
      <c r="G456" t="s">
        <v>417</v>
      </c>
      <c r="H456" t="s">
        <v>421</v>
      </c>
      <c r="I456" t="e">
        <f t="shared" ca="1" si="86"/>
        <v>#REF!</v>
      </c>
      <c r="J456" t="e">
        <f t="shared" ca="1" si="87"/>
        <v>#REF!</v>
      </c>
      <c r="K456" t="s">
        <v>431</v>
      </c>
      <c r="L456" s="150" t="s">
        <v>423</v>
      </c>
      <c r="M456" s="150" t="s">
        <v>435</v>
      </c>
      <c r="N456" t="e">
        <f t="shared" ca="1" si="88"/>
        <v>#REF!</v>
      </c>
      <c r="O456" s="150" t="s">
        <v>412</v>
      </c>
      <c r="P456" s="150" t="s">
        <v>428</v>
      </c>
      <c r="Q456" s="150" t="s">
        <v>399</v>
      </c>
      <c r="R456" t="e">
        <f t="shared" ca="1" si="89"/>
        <v>#REF!</v>
      </c>
      <c r="S456" t="s">
        <v>398</v>
      </c>
      <c r="T456" t="s">
        <v>448</v>
      </c>
      <c r="U456" t="str">
        <f t="shared" ref="U456:U495" ca="1" si="94">CONCATENATE(S456,L456,E456,L456,M456,K456,Q456)</f>
        <v>Sheets("Master Data").Range("0" &amp; RowNo).Value</v>
      </c>
      <c r="V456" t="e">
        <f t="shared" ca="1" si="90"/>
        <v>#REF!</v>
      </c>
      <c r="X456" t="e">
        <f t="shared" ref="X456:X495" ca="1" si="95">CONCATENATE(U456,O456,R456)</f>
        <v>#REF!</v>
      </c>
      <c r="Z456" t="e">
        <f t="shared" ref="Z456:Z495" ca="1" si="96">CONCATENATE(R456,O456,U456)</f>
        <v>#REF!</v>
      </c>
      <c r="AB456" t="e">
        <f t="shared" ca="1" si="91"/>
        <v>#REF!</v>
      </c>
      <c r="AD456" t="e">
        <f t="shared" ca="1" si="92"/>
        <v>#REF!</v>
      </c>
    </row>
    <row r="457" spans="1:30" x14ac:dyDescent="0.3">
      <c r="A457" s="150">
        <v>450</v>
      </c>
      <c r="B457" s="150" t="str">
        <f t="shared" ref="B457:B495" si="97">ADDRESS(1, A457, 4)</f>
        <v>QH1</v>
      </c>
      <c r="D457" t="s">
        <v>416</v>
      </c>
      <c r="E457">
        <f t="shared" ref="E457:E495" ca="1" si="98">INDIRECT("'Master Data'!" &amp; B457)</f>
        <v>0</v>
      </c>
      <c r="F457" t="e">
        <f t="shared" ca="1" si="93"/>
        <v>#REF!</v>
      </c>
      <c r="G457" t="s">
        <v>417</v>
      </c>
      <c r="H457" t="s">
        <v>421</v>
      </c>
      <c r="I457" t="e">
        <f t="shared" ref="I457:I495" ca="1" si="99">SUBSTITUTE(INDIRECT("'Master Data'!" &amp; E457 &amp; 2),"$","")</f>
        <v>#REF!</v>
      </c>
      <c r="J457" t="e">
        <f t="shared" ref="J457:J495" ca="1" si="100">SUBSTITUTE(INDIRECT("'Master Data'!" &amp; E457 &amp; 3),"$","")</f>
        <v>#REF!</v>
      </c>
      <c r="K457" t="s">
        <v>431</v>
      </c>
      <c r="L457" s="150" t="s">
        <v>423</v>
      </c>
      <c r="M457" s="150" t="s">
        <v>435</v>
      </c>
      <c r="N457" t="e">
        <f t="shared" ref="N457:N495" ca="1" si="101">INDIRECT("'Master Data'!" &amp; E457 &amp; 3)</f>
        <v>#REF!</v>
      </c>
      <c r="O457" s="150" t="s">
        <v>412</v>
      </c>
      <c r="P457" s="150" t="s">
        <v>428</v>
      </c>
      <c r="Q457" s="150" t="s">
        <v>399</v>
      </c>
      <c r="R457" t="e">
        <f t="shared" ref="R457:R495" ca="1" si="102">CONCATENATE(P457,L457,I457,L457,Q457)</f>
        <v>#REF!</v>
      </c>
      <c r="S457" t="s">
        <v>398</v>
      </c>
      <c r="T457" t="s">
        <v>448</v>
      </c>
      <c r="U457" t="str">
        <f t="shared" ca="1" si="94"/>
        <v>Sheets("Master Data").Range("0" &amp; RowNo).Value</v>
      </c>
      <c r="V457" t="e">
        <f t="shared" ref="V457:V495" ca="1" si="103">CONCATENATE(T457,L457,J457,L457,Q457)</f>
        <v>#REF!</v>
      </c>
      <c r="X457" t="e">
        <f t="shared" ca="1" si="95"/>
        <v>#REF!</v>
      </c>
      <c r="Z457" t="e">
        <f t="shared" ca="1" si="96"/>
        <v>#REF!</v>
      </c>
      <c r="AB457" t="e">
        <f t="shared" ref="AB457:AB495" ca="1" si="104">CONCATENATE(V457,O457,R457)</f>
        <v>#REF!</v>
      </c>
      <c r="AD457" t="e">
        <f t="shared" ca="1" si="92"/>
        <v>#REF!</v>
      </c>
    </row>
    <row r="458" spans="1:30" x14ac:dyDescent="0.3">
      <c r="A458" s="150">
        <v>451</v>
      </c>
      <c r="B458" s="150" t="str">
        <f t="shared" si="97"/>
        <v>QI1</v>
      </c>
      <c r="D458" t="s">
        <v>416</v>
      </c>
      <c r="E458">
        <f t="shared" ca="1" si="98"/>
        <v>0</v>
      </c>
      <c r="F458" t="e">
        <f t="shared" ca="1" si="93"/>
        <v>#REF!</v>
      </c>
      <c r="G458" t="s">
        <v>417</v>
      </c>
      <c r="H458" t="s">
        <v>421</v>
      </c>
      <c r="I458" t="e">
        <f t="shared" ca="1" si="99"/>
        <v>#REF!</v>
      </c>
      <c r="J458" t="e">
        <f t="shared" ca="1" si="100"/>
        <v>#REF!</v>
      </c>
      <c r="K458" t="s">
        <v>431</v>
      </c>
      <c r="L458" s="150" t="s">
        <v>423</v>
      </c>
      <c r="M458" s="150" t="s">
        <v>435</v>
      </c>
      <c r="N458" t="e">
        <f t="shared" ca="1" si="101"/>
        <v>#REF!</v>
      </c>
      <c r="O458" s="150" t="s">
        <v>412</v>
      </c>
      <c r="P458" s="150" t="s">
        <v>428</v>
      </c>
      <c r="Q458" s="150" t="s">
        <v>399</v>
      </c>
      <c r="R458" t="e">
        <f t="shared" ca="1" si="102"/>
        <v>#REF!</v>
      </c>
      <c r="S458" t="s">
        <v>398</v>
      </c>
      <c r="T458" t="s">
        <v>448</v>
      </c>
      <c r="U458" t="str">
        <f t="shared" ca="1" si="94"/>
        <v>Sheets("Master Data").Range("0" &amp; RowNo).Value</v>
      </c>
      <c r="V458" t="e">
        <f t="shared" ca="1" si="103"/>
        <v>#REF!</v>
      </c>
      <c r="X458" t="e">
        <f t="shared" ca="1" si="95"/>
        <v>#REF!</v>
      </c>
      <c r="Z458" t="e">
        <f t="shared" ca="1" si="96"/>
        <v>#REF!</v>
      </c>
      <c r="AB458" t="e">
        <f t="shared" ca="1" si="104"/>
        <v>#REF!</v>
      </c>
      <c r="AD458" t="e">
        <f t="shared" ca="1" si="92"/>
        <v>#REF!</v>
      </c>
    </row>
    <row r="459" spans="1:30" x14ac:dyDescent="0.3">
      <c r="A459" s="150">
        <v>452</v>
      </c>
      <c r="B459" s="150" t="str">
        <f t="shared" si="97"/>
        <v>QJ1</v>
      </c>
      <c r="D459" t="s">
        <v>416</v>
      </c>
      <c r="E459">
        <f t="shared" ca="1" si="98"/>
        <v>0</v>
      </c>
      <c r="F459" t="e">
        <f t="shared" ca="1" si="93"/>
        <v>#REF!</v>
      </c>
      <c r="G459" t="s">
        <v>417</v>
      </c>
      <c r="H459" t="s">
        <v>421</v>
      </c>
      <c r="I459" t="e">
        <f t="shared" ca="1" si="99"/>
        <v>#REF!</v>
      </c>
      <c r="J459" t="e">
        <f t="shared" ca="1" si="100"/>
        <v>#REF!</v>
      </c>
      <c r="K459" t="s">
        <v>431</v>
      </c>
      <c r="L459" s="150" t="s">
        <v>423</v>
      </c>
      <c r="M459" s="150" t="s">
        <v>435</v>
      </c>
      <c r="N459" t="e">
        <f t="shared" ca="1" si="101"/>
        <v>#REF!</v>
      </c>
      <c r="O459" s="150" t="s">
        <v>412</v>
      </c>
      <c r="P459" s="150" t="s">
        <v>428</v>
      </c>
      <c r="Q459" s="150" t="s">
        <v>399</v>
      </c>
      <c r="R459" t="e">
        <f t="shared" ca="1" si="102"/>
        <v>#REF!</v>
      </c>
      <c r="S459" t="s">
        <v>398</v>
      </c>
      <c r="T459" t="s">
        <v>448</v>
      </c>
      <c r="U459" t="str">
        <f t="shared" ca="1" si="94"/>
        <v>Sheets("Master Data").Range("0" &amp; RowNo).Value</v>
      </c>
      <c r="V459" t="e">
        <f t="shared" ca="1" si="103"/>
        <v>#REF!</v>
      </c>
      <c r="X459" t="e">
        <f t="shared" ca="1" si="95"/>
        <v>#REF!</v>
      </c>
      <c r="Z459" t="e">
        <f t="shared" ca="1" si="96"/>
        <v>#REF!</v>
      </c>
      <c r="AB459" t="e">
        <f t="shared" ca="1" si="104"/>
        <v>#REF!</v>
      </c>
      <c r="AD459" t="e">
        <f t="shared" ca="1" si="92"/>
        <v>#REF!</v>
      </c>
    </row>
    <row r="460" spans="1:30" x14ac:dyDescent="0.3">
      <c r="A460" s="150">
        <v>453</v>
      </c>
      <c r="B460" s="150" t="str">
        <f t="shared" si="97"/>
        <v>QK1</v>
      </c>
      <c r="D460" t="s">
        <v>416</v>
      </c>
      <c r="E460">
        <f t="shared" ca="1" si="98"/>
        <v>0</v>
      </c>
      <c r="F460" t="e">
        <f t="shared" ca="1" si="93"/>
        <v>#REF!</v>
      </c>
      <c r="G460" t="s">
        <v>417</v>
      </c>
      <c r="H460" t="s">
        <v>421</v>
      </c>
      <c r="I460" t="e">
        <f t="shared" ca="1" si="99"/>
        <v>#REF!</v>
      </c>
      <c r="J460" t="e">
        <f t="shared" ca="1" si="100"/>
        <v>#REF!</v>
      </c>
      <c r="K460" t="s">
        <v>431</v>
      </c>
      <c r="L460" s="150" t="s">
        <v>423</v>
      </c>
      <c r="M460" s="150" t="s">
        <v>435</v>
      </c>
      <c r="N460" t="e">
        <f t="shared" ca="1" si="101"/>
        <v>#REF!</v>
      </c>
      <c r="O460" s="150" t="s">
        <v>412</v>
      </c>
      <c r="P460" s="150" t="s">
        <v>428</v>
      </c>
      <c r="Q460" s="150" t="s">
        <v>399</v>
      </c>
      <c r="R460" t="e">
        <f t="shared" ca="1" si="102"/>
        <v>#REF!</v>
      </c>
      <c r="S460" t="s">
        <v>398</v>
      </c>
      <c r="T460" t="s">
        <v>448</v>
      </c>
      <c r="U460" t="str">
        <f t="shared" ca="1" si="94"/>
        <v>Sheets("Master Data").Range("0" &amp; RowNo).Value</v>
      </c>
      <c r="V460" t="e">
        <f t="shared" ca="1" si="103"/>
        <v>#REF!</v>
      </c>
      <c r="X460" t="e">
        <f t="shared" ca="1" si="95"/>
        <v>#REF!</v>
      </c>
      <c r="Z460" t="e">
        <f t="shared" ca="1" si="96"/>
        <v>#REF!</v>
      </c>
      <c r="AB460" t="e">
        <f t="shared" ca="1" si="104"/>
        <v>#REF!</v>
      </c>
      <c r="AD460" t="e">
        <f t="shared" ca="1" si="92"/>
        <v>#REF!</v>
      </c>
    </row>
    <row r="461" spans="1:30" x14ac:dyDescent="0.3">
      <c r="A461" s="150">
        <v>454</v>
      </c>
      <c r="B461" s="150" t="str">
        <f t="shared" si="97"/>
        <v>QL1</v>
      </c>
      <c r="D461" t="s">
        <v>416</v>
      </c>
      <c r="E461">
        <f t="shared" ca="1" si="98"/>
        <v>0</v>
      </c>
      <c r="F461" t="e">
        <f t="shared" ca="1" si="93"/>
        <v>#REF!</v>
      </c>
      <c r="G461" t="s">
        <v>417</v>
      </c>
      <c r="H461" t="s">
        <v>421</v>
      </c>
      <c r="I461" t="e">
        <f t="shared" ca="1" si="99"/>
        <v>#REF!</v>
      </c>
      <c r="J461" t="e">
        <f t="shared" ca="1" si="100"/>
        <v>#REF!</v>
      </c>
      <c r="K461" t="s">
        <v>431</v>
      </c>
      <c r="L461" s="150" t="s">
        <v>423</v>
      </c>
      <c r="M461" s="150" t="s">
        <v>435</v>
      </c>
      <c r="N461" t="e">
        <f t="shared" ca="1" si="101"/>
        <v>#REF!</v>
      </c>
      <c r="O461" s="150" t="s">
        <v>412</v>
      </c>
      <c r="P461" s="150" t="s">
        <v>428</v>
      </c>
      <c r="Q461" s="150" t="s">
        <v>399</v>
      </c>
      <c r="R461" t="e">
        <f t="shared" ca="1" si="102"/>
        <v>#REF!</v>
      </c>
      <c r="S461" t="s">
        <v>398</v>
      </c>
      <c r="T461" t="s">
        <v>448</v>
      </c>
      <c r="U461" t="str">
        <f t="shared" ca="1" si="94"/>
        <v>Sheets("Master Data").Range("0" &amp; RowNo).Value</v>
      </c>
      <c r="V461" t="e">
        <f t="shared" ca="1" si="103"/>
        <v>#REF!</v>
      </c>
      <c r="X461" t="e">
        <f t="shared" ca="1" si="95"/>
        <v>#REF!</v>
      </c>
      <c r="Z461" t="e">
        <f t="shared" ca="1" si="96"/>
        <v>#REF!</v>
      </c>
      <c r="AB461" t="e">
        <f t="shared" ca="1" si="104"/>
        <v>#REF!</v>
      </c>
      <c r="AD461" t="e">
        <f t="shared" ca="1" si="92"/>
        <v>#REF!</v>
      </c>
    </row>
    <row r="462" spans="1:30" x14ac:dyDescent="0.3">
      <c r="A462" s="150">
        <v>455</v>
      </c>
      <c r="B462" s="150" t="str">
        <f t="shared" si="97"/>
        <v>QM1</v>
      </c>
      <c r="D462" t="s">
        <v>416</v>
      </c>
      <c r="E462">
        <f t="shared" ca="1" si="98"/>
        <v>0</v>
      </c>
      <c r="F462" t="e">
        <f t="shared" ca="1" si="93"/>
        <v>#REF!</v>
      </c>
      <c r="G462" t="s">
        <v>417</v>
      </c>
      <c r="H462" t="s">
        <v>421</v>
      </c>
      <c r="I462" t="e">
        <f t="shared" ca="1" si="99"/>
        <v>#REF!</v>
      </c>
      <c r="J462" t="e">
        <f t="shared" ca="1" si="100"/>
        <v>#REF!</v>
      </c>
      <c r="K462" t="s">
        <v>431</v>
      </c>
      <c r="L462" s="150" t="s">
        <v>423</v>
      </c>
      <c r="M462" s="150" t="s">
        <v>435</v>
      </c>
      <c r="N462" t="e">
        <f t="shared" ca="1" si="101"/>
        <v>#REF!</v>
      </c>
      <c r="O462" s="150" t="s">
        <v>412</v>
      </c>
      <c r="P462" s="150" t="s">
        <v>428</v>
      </c>
      <c r="Q462" s="150" t="s">
        <v>399</v>
      </c>
      <c r="R462" t="e">
        <f t="shared" ca="1" si="102"/>
        <v>#REF!</v>
      </c>
      <c r="S462" t="s">
        <v>398</v>
      </c>
      <c r="T462" t="s">
        <v>448</v>
      </c>
      <c r="U462" t="str">
        <f t="shared" ca="1" si="94"/>
        <v>Sheets("Master Data").Range("0" &amp; RowNo).Value</v>
      </c>
      <c r="V462" t="e">
        <f t="shared" ca="1" si="103"/>
        <v>#REF!</v>
      </c>
      <c r="X462" t="e">
        <f t="shared" ca="1" si="95"/>
        <v>#REF!</v>
      </c>
      <c r="Z462" t="e">
        <f t="shared" ca="1" si="96"/>
        <v>#REF!</v>
      </c>
      <c r="AB462" t="e">
        <f t="shared" ca="1" si="104"/>
        <v>#REF!</v>
      </c>
      <c r="AD462" t="e">
        <f t="shared" ca="1" si="92"/>
        <v>#REF!</v>
      </c>
    </row>
    <row r="463" spans="1:30" x14ac:dyDescent="0.3">
      <c r="A463" s="150">
        <v>456</v>
      </c>
      <c r="B463" s="150" t="str">
        <f t="shared" si="97"/>
        <v>QN1</v>
      </c>
      <c r="D463" t="s">
        <v>416</v>
      </c>
      <c r="E463">
        <f t="shared" ca="1" si="98"/>
        <v>0</v>
      </c>
      <c r="F463" t="e">
        <f t="shared" ca="1" si="93"/>
        <v>#REF!</v>
      </c>
      <c r="G463" t="s">
        <v>417</v>
      </c>
      <c r="H463" t="s">
        <v>421</v>
      </c>
      <c r="I463" t="e">
        <f t="shared" ca="1" si="99"/>
        <v>#REF!</v>
      </c>
      <c r="J463" t="e">
        <f t="shared" ca="1" si="100"/>
        <v>#REF!</v>
      </c>
      <c r="K463" t="s">
        <v>431</v>
      </c>
      <c r="L463" s="150" t="s">
        <v>423</v>
      </c>
      <c r="M463" s="150" t="s">
        <v>435</v>
      </c>
      <c r="N463" t="e">
        <f t="shared" ca="1" si="101"/>
        <v>#REF!</v>
      </c>
      <c r="O463" s="150" t="s">
        <v>412</v>
      </c>
      <c r="P463" s="150" t="s">
        <v>428</v>
      </c>
      <c r="Q463" s="150" t="s">
        <v>399</v>
      </c>
      <c r="R463" t="e">
        <f t="shared" ca="1" si="102"/>
        <v>#REF!</v>
      </c>
      <c r="S463" t="s">
        <v>398</v>
      </c>
      <c r="T463" t="s">
        <v>448</v>
      </c>
      <c r="U463" t="str">
        <f t="shared" ca="1" si="94"/>
        <v>Sheets("Master Data").Range("0" &amp; RowNo).Value</v>
      </c>
      <c r="V463" t="e">
        <f t="shared" ca="1" si="103"/>
        <v>#REF!</v>
      </c>
      <c r="X463" t="e">
        <f t="shared" ca="1" si="95"/>
        <v>#REF!</v>
      </c>
      <c r="Z463" t="e">
        <f t="shared" ca="1" si="96"/>
        <v>#REF!</v>
      </c>
      <c r="AB463" t="e">
        <f t="shared" ca="1" si="104"/>
        <v>#REF!</v>
      </c>
      <c r="AD463" t="e">
        <f t="shared" ca="1" si="92"/>
        <v>#REF!</v>
      </c>
    </row>
    <row r="464" spans="1:30" x14ac:dyDescent="0.3">
      <c r="A464" s="150">
        <v>457</v>
      </c>
      <c r="B464" s="150" t="str">
        <f t="shared" si="97"/>
        <v>QO1</v>
      </c>
      <c r="D464" t="s">
        <v>416</v>
      </c>
      <c r="E464">
        <f t="shared" ca="1" si="98"/>
        <v>0</v>
      </c>
      <c r="F464" t="e">
        <f t="shared" ca="1" si="93"/>
        <v>#REF!</v>
      </c>
      <c r="G464" t="s">
        <v>417</v>
      </c>
      <c r="H464" t="s">
        <v>421</v>
      </c>
      <c r="I464" t="e">
        <f t="shared" ca="1" si="99"/>
        <v>#REF!</v>
      </c>
      <c r="J464" t="e">
        <f t="shared" ca="1" si="100"/>
        <v>#REF!</v>
      </c>
      <c r="K464" t="s">
        <v>431</v>
      </c>
      <c r="L464" s="150" t="s">
        <v>423</v>
      </c>
      <c r="M464" s="150" t="s">
        <v>435</v>
      </c>
      <c r="N464" t="e">
        <f t="shared" ca="1" si="101"/>
        <v>#REF!</v>
      </c>
      <c r="O464" s="150" t="s">
        <v>412</v>
      </c>
      <c r="P464" s="150" t="s">
        <v>428</v>
      </c>
      <c r="Q464" s="150" t="s">
        <v>399</v>
      </c>
      <c r="R464" t="e">
        <f t="shared" ca="1" si="102"/>
        <v>#REF!</v>
      </c>
      <c r="S464" t="s">
        <v>398</v>
      </c>
      <c r="T464" t="s">
        <v>448</v>
      </c>
      <c r="U464" t="str">
        <f t="shared" ca="1" si="94"/>
        <v>Sheets("Master Data").Range("0" &amp; RowNo).Value</v>
      </c>
      <c r="V464" t="e">
        <f t="shared" ca="1" si="103"/>
        <v>#REF!</v>
      </c>
      <c r="X464" t="e">
        <f t="shared" ca="1" si="95"/>
        <v>#REF!</v>
      </c>
      <c r="Z464" t="e">
        <f t="shared" ca="1" si="96"/>
        <v>#REF!</v>
      </c>
      <c r="AB464" t="e">
        <f t="shared" ca="1" si="104"/>
        <v>#REF!</v>
      </c>
      <c r="AD464" t="e">
        <f t="shared" ca="1" si="92"/>
        <v>#REF!</v>
      </c>
    </row>
    <row r="465" spans="1:30" x14ac:dyDescent="0.3">
      <c r="A465" s="150">
        <v>458</v>
      </c>
      <c r="B465" s="150" t="str">
        <f t="shared" si="97"/>
        <v>QP1</v>
      </c>
      <c r="D465" t="s">
        <v>416</v>
      </c>
      <c r="E465">
        <f t="shared" ca="1" si="98"/>
        <v>0</v>
      </c>
      <c r="F465" t="e">
        <f t="shared" ca="1" si="93"/>
        <v>#REF!</v>
      </c>
      <c r="G465" t="s">
        <v>417</v>
      </c>
      <c r="H465" t="s">
        <v>421</v>
      </c>
      <c r="I465" t="e">
        <f t="shared" ca="1" si="99"/>
        <v>#REF!</v>
      </c>
      <c r="J465" t="e">
        <f t="shared" ca="1" si="100"/>
        <v>#REF!</v>
      </c>
      <c r="K465" t="s">
        <v>431</v>
      </c>
      <c r="L465" s="150" t="s">
        <v>423</v>
      </c>
      <c r="M465" s="150" t="s">
        <v>435</v>
      </c>
      <c r="N465" t="e">
        <f t="shared" ca="1" si="101"/>
        <v>#REF!</v>
      </c>
      <c r="O465" s="150" t="s">
        <v>412</v>
      </c>
      <c r="P465" s="150" t="s">
        <v>428</v>
      </c>
      <c r="Q465" s="150" t="s">
        <v>399</v>
      </c>
      <c r="R465" t="e">
        <f t="shared" ca="1" si="102"/>
        <v>#REF!</v>
      </c>
      <c r="S465" t="s">
        <v>398</v>
      </c>
      <c r="T465" t="s">
        <v>448</v>
      </c>
      <c r="U465" t="str">
        <f t="shared" ca="1" si="94"/>
        <v>Sheets("Master Data").Range("0" &amp; RowNo).Value</v>
      </c>
      <c r="V465" t="e">
        <f t="shared" ca="1" si="103"/>
        <v>#REF!</v>
      </c>
      <c r="X465" t="e">
        <f t="shared" ca="1" si="95"/>
        <v>#REF!</v>
      </c>
      <c r="Z465" t="e">
        <f t="shared" ca="1" si="96"/>
        <v>#REF!</v>
      </c>
      <c r="AB465" t="e">
        <f t="shared" ca="1" si="104"/>
        <v>#REF!</v>
      </c>
      <c r="AD465" t="e">
        <f t="shared" ref="AD465:AD495" ca="1" si="105">CONCATENATE(U465,O465,V465)</f>
        <v>#REF!</v>
      </c>
    </row>
    <row r="466" spans="1:30" x14ac:dyDescent="0.3">
      <c r="A466" s="150">
        <v>459</v>
      </c>
      <c r="B466" s="150" t="str">
        <f t="shared" si="97"/>
        <v>QQ1</v>
      </c>
      <c r="D466" t="s">
        <v>416</v>
      </c>
      <c r="E466">
        <f t="shared" ca="1" si="98"/>
        <v>0</v>
      </c>
      <c r="F466" t="e">
        <f t="shared" ca="1" si="93"/>
        <v>#REF!</v>
      </c>
      <c r="G466" t="s">
        <v>417</v>
      </c>
      <c r="H466" t="s">
        <v>421</v>
      </c>
      <c r="I466" t="e">
        <f t="shared" ca="1" si="99"/>
        <v>#REF!</v>
      </c>
      <c r="J466" t="e">
        <f t="shared" ca="1" si="100"/>
        <v>#REF!</v>
      </c>
      <c r="K466" t="s">
        <v>431</v>
      </c>
      <c r="L466" s="150" t="s">
        <v>423</v>
      </c>
      <c r="M466" s="150" t="s">
        <v>435</v>
      </c>
      <c r="N466" t="e">
        <f t="shared" ca="1" si="101"/>
        <v>#REF!</v>
      </c>
      <c r="O466" s="150" t="s">
        <v>412</v>
      </c>
      <c r="P466" s="150" t="s">
        <v>428</v>
      </c>
      <c r="Q466" s="150" t="s">
        <v>399</v>
      </c>
      <c r="R466" t="e">
        <f t="shared" ca="1" si="102"/>
        <v>#REF!</v>
      </c>
      <c r="S466" t="s">
        <v>398</v>
      </c>
      <c r="T466" t="s">
        <v>448</v>
      </c>
      <c r="U466" t="str">
        <f t="shared" ca="1" si="94"/>
        <v>Sheets("Master Data").Range("0" &amp; RowNo).Value</v>
      </c>
      <c r="V466" t="e">
        <f t="shared" ca="1" si="103"/>
        <v>#REF!</v>
      </c>
      <c r="X466" t="e">
        <f t="shared" ca="1" si="95"/>
        <v>#REF!</v>
      </c>
      <c r="Z466" t="e">
        <f t="shared" ca="1" si="96"/>
        <v>#REF!</v>
      </c>
      <c r="AB466" t="e">
        <f t="shared" ca="1" si="104"/>
        <v>#REF!</v>
      </c>
      <c r="AD466" t="e">
        <f t="shared" ca="1" si="105"/>
        <v>#REF!</v>
      </c>
    </row>
    <row r="467" spans="1:30" x14ac:dyDescent="0.3">
      <c r="A467" s="150">
        <v>460</v>
      </c>
      <c r="B467" s="150" t="str">
        <f t="shared" si="97"/>
        <v>QR1</v>
      </c>
      <c r="D467" t="s">
        <v>416</v>
      </c>
      <c r="E467">
        <f t="shared" ca="1" si="98"/>
        <v>0</v>
      </c>
      <c r="F467" t="e">
        <f t="shared" ca="1" si="93"/>
        <v>#REF!</v>
      </c>
      <c r="G467" t="s">
        <v>417</v>
      </c>
      <c r="H467" t="s">
        <v>421</v>
      </c>
      <c r="I467" t="e">
        <f t="shared" ca="1" si="99"/>
        <v>#REF!</v>
      </c>
      <c r="J467" t="e">
        <f t="shared" ca="1" si="100"/>
        <v>#REF!</v>
      </c>
      <c r="K467" t="s">
        <v>431</v>
      </c>
      <c r="L467" s="150" t="s">
        <v>423</v>
      </c>
      <c r="M467" s="150" t="s">
        <v>435</v>
      </c>
      <c r="N467" t="e">
        <f t="shared" ca="1" si="101"/>
        <v>#REF!</v>
      </c>
      <c r="O467" s="150" t="s">
        <v>412</v>
      </c>
      <c r="P467" s="150" t="s">
        <v>428</v>
      </c>
      <c r="Q467" s="150" t="s">
        <v>399</v>
      </c>
      <c r="R467" t="e">
        <f t="shared" ca="1" si="102"/>
        <v>#REF!</v>
      </c>
      <c r="S467" t="s">
        <v>398</v>
      </c>
      <c r="T467" t="s">
        <v>448</v>
      </c>
      <c r="U467" t="str">
        <f t="shared" ca="1" si="94"/>
        <v>Sheets("Master Data").Range("0" &amp; RowNo).Value</v>
      </c>
      <c r="V467" t="e">
        <f t="shared" ca="1" si="103"/>
        <v>#REF!</v>
      </c>
      <c r="X467" t="e">
        <f t="shared" ca="1" si="95"/>
        <v>#REF!</v>
      </c>
      <c r="Z467" t="e">
        <f t="shared" ca="1" si="96"/>
        <v>#REF!</v>
      </c>
      <c r="AB467" t="e">
        <f t="shared" ca="1" si="104"/>
        <v>#REF!</v>
      </c>
      <c r="AD467" t="e">
        <f t="shared" ca="1" si="105"/>
        <v>#REF!</v>
      </c>
    </row>
    <row r="468" spans="1:30" x14ac:dyDescent="0.3">
      <c r="A468" s="150">
        <v>461</v>
      </c>
      <c r="B468" s="150" t="str">
        <f t="shared" si="97"/>
        <v>QS1</v>
      </c>
      <c r="D468" t="s">
        <v>416</v>
      </c>
      <c r="E468">
        <f t="shared" ca="1" si="98"/>
        <v>0</v>
      </c>
      <c r="F468" t="e">
        <f t="shared" ref="F468:F495" ca="1" si="106">SUBSTITUTE(INDIRECT("'Master Data'!" &amp; E468 &amp; 4)," ","_")</f>
        <v>#REF!</v>
      </c>
      <c r="G468" t="s">
        <v>417</v>
      </c>
      <c r="H468" t="s">
        <v>421</v>
      </c>
      <c r="I468" t="e">
        <f t="shared" ca="1" si="99"/>
        <v>#REF!</v>
      </c>
      <c r="J468" t="e">
        <f t="shared" ca="1" si="100"/>
        <v>#REF!</v>
      </c>
      <c r="K468" t="s">
        <v>431</v>
      </c>
      <c r="L468" s="150" t="s">
        <v>423</v>
      </c>
      <c r="M468" s="150" t="s">
        <v>435</v>
      </c>
      <c r="N468" t="e">
        <f t="shared" ca="1" si="101"/>
        <v>#REF!</v>
      </c>
      <c r="O468" s="150" t="s">
        <v>412</v>
      </c>
      <c r="P468" s="150" t="s">
        <v>428</v>
      </c>
      <c r="Q468" s="150" t="s">
        <v>399</v>
      </c>
      <c r="R468" t="e">
        <f t="shared" ca="1" si="102"/>
        <v>#REF!</v>
      </c>
      <c r="S468" t="s">
        <v>398</v>
      </c>
      <c r="T468" t="s">
        <v>448</v>
      </c>
      <c r="U468" t="str">
        <f t="shared" ca="1" si="94"/>
        <v>Sheets("Master Data").Range("0" &amp; RowNo).Value</v>
      </c>
      <c r="V468" t="e">
        <f t="shared" ca="1" si="103"/>
        <v>#REF!</v>
      </c>
      <c r="X468" t="e">
        <f t="shared" ca="1" si="95"/>
        <v>#REF!</v>
      </c>
      <c r="Z468" t="e">
        <f t="shared" ca="1" si="96"/>
        <v>#REF!</v>
      </c>
      <c r="AB468" t="e">
        <f t="shared" ca="1" si="104"/>
        <v>#REF!</v>
      </c>
      <c r="AD468" t="e">
        <f t="shared" ca="1" si="105"/>
        <v>#REF!</v>
      </c>
    </row>
    <row r="469" spans="1:30" x14ac:dyDescent="0.3">
      <c r="A469" s="150">
        <v>462</v>
      </c>
      <c r="B469" s="150" t="str">
        <f t="shared" si="97"/>
        <v>QT1</v>
      </c>
      <c r="D469" t="s">
        <v>416</v>
      </c>
      <c r="E469">
        <f t="shared" ca="1" si="98"/>
        <v>0</v>
      </c>
      <c r="F469" t="e">
        <f t="shared" ca="1" si="106"/>
        <v>#REF!</v>
      </c>
      <c r="G469" t="s">
        <v>417</v>
      </c>
      <c r="H469" t="s">
        <v>421</v>
      </c>
      <c r="I469" t="e">
        <f t="shared" ca="1" si="99"/>
        <v>#REF!</v>
      </c>
      <c r="J469" t="e">
        <f t="shared" ca="1" si="100"/>
        <v>#REF!</v>
      </c>
      <c r="K469" t="s">
        <v>431</v>
      </c>
      <c r="L469" s="150" t="s">
        <v>423</v>
      </c>
      <c r="M469" s="150" t="s">
        <v>435</v>
      </c>
      <c r="N469" t="e">
        <f t="shared" ca="1" si="101"/>
        <v>#REF!</v>
      </c>
      <c r="O469" s="150" t="s">
        <v>412</v>
      </c>
      <c r="P469" s="150" t="s">
        <v>428</v>
      </c>
      <c r="Q469" s="150" t="s">
        <v>399</v>
      </c>
      <c r="R469" t="e">
        <f t="shared" ca="1" si="102"/>
        <v>#REF!</v>
      </c>
      <c r="S469" t="s">
        <v>398</v>
      </c>
      <c r="T469" t="s">
        <v>448</v>
      </c>
      <c r="U469" t="str">
        <f t="shared" ca="1" si="94"/>
        <v>Sheets("Master Data").Range("0" &amp; RowNo).Value</v>
      </c>
      <c r="V469" t="e">
        <f t="shared" ca="1" si="103"/>
        <v>#REF!</v>
      </c>
      <c r="X469" t="e">
        <f t="shared" ca="1" si="95"/>
        <v>#REF!</v>
      </c>
      <c r="Z469" t="e">
        <f t="shared" ca="1" si="96"/>
        <v>#REF!</v>
      </c>
      <c r="AB469" t="e">
        <f t="shared" ca="1" si="104"/>
        <v>#REF!</v>
      </c>
      <c r="AD469" t="e">
        <f t="shared" ca="1" si="105"/>
        <v>#REF!</v>
      </c>
    </row>
    <row r="470" spans="1:30" x14ac:dyDescent="0.3">
      <c r="A470" s="150">
        <v>463</v>
      </c>
      <c r="B470" s="150" t="str">
        <f t="shared" si="97"/>
        <v>QU1</v>
      </c>
      <c r="D470" t="s">
        <v>416</v>
      </c>
      <c r="E470">
        <f t="shared" ca="1" si="98"/>
        <v>0</v>
      </c>
      <c r="F470" t="e">
        <f t="shared" ca="1" si="106"/>
        <v>#REF!</v>
      </c>
      <c r="G470" t="s">
        <v>417</v>
      </c>
      <c r="H470" t="s">
        <v>421</v>
      </c>
      <c r="I470" t="e">
        <f t="shared" ca="1" si="99"/>
        <v>#REF!</v>
      </c>
      <c r="J470" t="e">
        <f t="shared" ca="1" si="100"/>
        <v>#REF!</v>
      </c>
      <c r="K470" t="s">
        <v>431</v>
      </c>
      <c r="L470" s="150" t="s">
        <v>423</v>
      </c>
      <c r="M470" s="150" t="s">
        <v>435</v>
      </c>
      <c r="N470" t="e">
        <f t="shared" ca="1" si="101"/>
        <v>#REF!</v>
      </c>
      <c r="O470" s="150" t="s">
        <v>412</v>
      </c>
      <c r="P470" s="150" t="s">
        <v>428</v>
      </c>
      <c r="Q470" s="150" t="s">
        <v>399</v>
      </c>
      <c r="R470" t="e">
        <f t="shared" ca="1" si="102"/>
        <v>#REF!</v>
      </c>
      <c r="S470" t="s">
        <v>398</v>
      </c>
      <c r="T470" t="s">
        <v>448</v>
      </c>
      <c r="U470" t="str">
        <f t="shared" ca="1" si="94"/>
        <v>Sheets("Master Data").Range("0" &amp; RowNo).Value</v>
      </c>
      <c r="V470" t="e">
        <f t="shared" ca="1" si="103"/>
        <v>#REF!</v>
      </c>
      <c r="X470" t="e">
        <f t="shared" ca="1" si="95"/>
        <v>#REF!</v>
      </c>
      <c r="Z470" t="e">
        <f t="shared" ca="1" si="96"/>
        <v>#REF!</v>
      </c>
      <c r="AB470" t="e">
        <f t="shared" ca="1" si="104"/>
        <v>#REF!</v>
      </c>
      <c r="AD470" t="e">
        <f t="shared" ca="1" si="105"/>
        <v>#REF!</v>
      </c>
    </row>
    <row r="471" spans="1:30" x14ac:dyDescent="0.3">
      <c r="A471" s="150">
        <v>464</v>
      </c>
      <c r="B471" s="150" t="str">
        <f t="shared" si="97"/>
        <v>QV1</v>
      </c>
      <c r="D471" t="s">
        <v>416</v>
      </c>
      <c r="E471">
        <f t="shared" ca="1" si="98"/>
        <v>0</v>
      </c>
      <c r="F471" t="e">
        <f t="shared" ca="1" si="106"/>
        <v>#REF!</v>
      </c>
      <c r="G471" t="s">
        <v>417</v>
      </c>
      <c r="H471" t="s">
        <v>421</v>
      </c>
      <c r="I471" t="e">
        <f t="shared" ca="1" si="99"/>
        <v>#REF!</v>
      </c>
      <c r="J471" t="e">
        <f t="shared" ca="1" si="100"/>
        <v>#REF!</v>
      </c>
      <c r="K471" t="s">
        <v>431</v>
      </c>
      <c r="L471" s="150" t="s">
        <v>423</v>
      </c>
      <c r="M471" s="150" t="s">
        <v>435</v>
      </c>
      <c r="N471" t="e">
        <f t="shared" ca="1" si="101"/>
        <v>#REF!</v>
      </c>
      <c r="O471" s="150" t="s">
        <v>412</v>
      </c>
      <c r="P471" s="150" t="s">
        <v>428</v>
      </c>
      <c r="Q471" s="150" t="s">
        <v>399</v>
      </c>
      <c r="R471" t="e">
        <f t="shared" ca="1" si="102"/>
        <v>#REF!</v>
      </c>
      <c r="S471" t="s">
        <v>398</v>
      </c>
      <c r="T471" t="s">
        <v>448</v>
      </c>
      <c r="U471" t="str">
        <f t="shared" ca="1" si="94"/>
        <v>Sheets("Master Data").Range("0" &amp; RowNo).Value</v>
      </c>
      <c r="V471" t="e">
        <f t="shared" ca="1" si="103"/>
        <v>#REF!</v>
      </c>
      <c r="X471" t="e">
        <f t="shared" ca="1" si="95"/>
        <v>#REF!</v>
      </c>
      <c r="Z471" t="e">
        <f t="shared" ca="1" si="96"/>
        <v>#REF!</v>
      </c>
      <c r="AB471" t="e">
        <f t="shared" ca="1" si="104"/>
        <v>#REF!</v>
      </c>
      <c r="AD471" t="e">
        <f t="shared" ca="1" si="105"/>
        <v>#REF!</v>
      </c>
    </row>
    <row r="472" spans="1:30" x14ac:dyDescent="0.3">
      <c r="A472" s="150">
        <v>465</v>
      </c>
      <c r="B472" s="150" t="str">
        <f t="shared" si="97"/>
        <v>QW1</v>
      </c>
      <c r="D472" t="s">
        <v>416</v>
      </c>
      <c r="E472">
        <f t="shared" ca="1" si="98"/>
        <v>0</v>
      </c>
      <c r="F472" t="e">
        <f t="shared" ca="1" si="106"/>
        <v>#REF!</v>
      </c>
      <c r="G472" t="s">
        <v>417</v>
      </c>
      <c r="H472" t="s">
        <v>421</v>
      </c>
      <c r="I472" t="e">
        <f t="shared" ca="1" si="99"/>
        <v>#REF!</v>
      </c>
      <c r="J472" t="e">
        <f t="shared" ca="1" si="100"/>
        <v>#REF!</v>
      </c>
      <c r="K472" t="s">
        <v>431</v>
      </c>
      <c r="L472" s="150" t="s">
        <v>423</v>
      </c>
      <c r="M472" s="150" t="s">
        <v>435</v>
      </c>
      <c r="N472" t="e">
        <f t="shared" ca="1" si="101"/>
        <v>#REF!</v>
      </c>
      <c r="O472" s="150" t="s">
        <v>412</v>
      </c>
      <c r="P472" s="150" t="s">
        <v>428</v>
      </c>
      <c r="Q472" s="150" t="s">
        <v>399</v>
      </c>
      <c r="R472" t="e">
        <f t="shared" ca="1" si="102"/>
        <v>#REF!</v>
      </c>
      <c r="S472" t="s">
        <v>398</v>
      </c>
      <c r="T472" t="s">
        <v>448</v>
      </c>
      <c r="U472" t="str">
        <f t="shared" ca="1" si="94"/>
        <v>Sheets("Master Data").Range("0" &amp; RowNo).Value</v>
      </c>
      <c r="V472" t="e">
        <f t="shared" ca="1" si="103"/>
        <v>#REF!</v>
      </c>
      <c r="X472" t="e">
        <f t="shared" ca="1" si="95"/>
        <v>#REF!</v>
      </c>
      <c r="Z472" t="e">
        <f t="shared" ca="1" si="96"/>
        <v>#REF!</v>
      </c>
      <c r="AB472" t="e">
        <f t="shared" ca="1" si="104"/>
        <v>#REF!</v>
      </c>
      <c r="AD472" t="e">
        <f t="shared" ca="1" si="105"/>
        <v>#REF!</v>
      </c>
    </row>
    <row r="473" spans="1:30" x14ac:dyDescent="0.3">
      <c r="A473" s="150">
        <v>466</v>
      </c>
      <c r="B473" s="150" t="str">
        <f t="shared" si="97"/>
        <v>QX1</v>
      </c>
      <c r="D473" t="s">
        <v>416</v>
      </c>
      <c r="E473">
        <f t="shared" ca="1" si="98"/>
        <v>0</v>
      </c>
      <c r="F473" t="e">
        <f t="shared" ca="1" si="106"/>
        <v>#REF!</v>
      </c>
      <c r="G473" t="s">
        <v>417</v>
      </c>
      <c r="H473" t="s">
        <v>421</v>
      </c>
      <c r="I473" t="e">
        <f t="shared" ca="1" si="99"/>
        <v>#REF!</v>
      </c>
      <c r="J473" t="e">
        <f t="shared" ca="1" si="100"/>
        <v>#REF!</v>
      </c>
      <c r="K473" t="s">
        <v>431</v>
      </c>
      <c r="L473" s="150" t="s">
        <v>423</v>
      </c>
      <c r="M473" s="150" t="s">
        <v>435</v>
      </c>
      <c r="N473" t="e">
        <f t="shared" ca="1" si="101"/>
        <v>#REF!</v>
      </c>
      <c r="O473" s="150" t="s">
        <v>412</v>
      </c>
      <c r="P473" s="150" t="s">
        <v>428</v>
      </c>
      <c r="Q473" s="150" t="s">
        <v>399</v>
      </c>
      <c r="R473" t="e">
        <f t="shared" ca="1" si="102"/>
        <v>#REF!</v>
      </c>
      <c r="S473" t="s">
        <v>398</v>
      </c>
      <c r="T473" t="s">
        <v>448</v>
      </c>
      <c r="U473" t="str">
        <f t="shared" ca="1" si="94"/>
        <v>Sheets("Master Data").Range("0" &amp; RowNo).Value</v>
      </c>
      <c r="V473" t="e">
        <f t="shared" ca="1" si="103"/>
        <v>#REF!</v>
      </c>
      <c r="X473" t="e">
        <f t="shared" ca="1" si="95"/>
        <v>#REF!</v>
      </c>
      <c r="Z473" t="e">
        <f t="shared" ca="1" si="96"/>
        <v>#REF!</v>
      </c>
      <c r="AB473" t="e">
        <f t="shared" ca="1" si="104"/>
        <v>#REF!</v>
      </c>
      <c r="AD473" t="e">
        <f t="shared" ca="1" si="105"/>
        <v>#REF!</v>
      </c>
    </row>
    <row r="474" spans="1:30" x14ac:dyDescent="0.3">
      <c r="A474" s="150">
        <v>467</v>
      </c>
      <c r="B474" s="150" t="str">
        <f t="shared" si="97"/>
        <v>QY1</v>
      </c>
      <c r="D474" t="s">
        <v>416</v>
      </c>
      <c r="E474">
        <f t="shared" ca="1" si="98"/>
        <v>0</v>
      </c>
      <c r="F474" t="e">
        <f t="shared" ca="1" si="106"/>
        <v>#REF!</v>
      </c>
      <c r="G474" t="s">
        <v>417</v>
      </c>
      <c r="H474" t="s">
        <v>421</v>
      </c>
      <c r="I474" t="e">
        <f t="shared" ca="1" si="99"/>
        <v>#REF!</v>
      </c>
      <c r="J474" t="e">
        <f t="shared" ca="1" si="100"/>
        <v>#REF!</v>
      </c>
      <c r="K474" t="s">
        <v>431</v>
      </c>
      <c r="L474" s="150" t="s">
        <v>423</v>
      </c>
      <c r="M474" s="150" t="s">
        <v>435</v>
      </c>
      <c r="N474" t="e">
        <f t="shared" ca="1" si="101"/>
        <v>#REF!</v>
      </c>
      <c r="O474" s="150" t="s">
        <v>412</v>
      </c>
      <c r="P474" s="150" t="s">
        <v>428</v>
      </c>
      <c r="Q474" s="150" t="s">
        <v>399</v>
      </c>
      <c r="R474" t="e">
        <f t="shared" ca="1" si="102"/>
        <v>#REF!</v>
      </c>
      <c r="S474" t="s">
        <v>398</v>
      </c>
      <c r="T474" t="s">
        <v>448</v>
      </c>
      <c r="U474" t="str">
        <f t="shared" ca="1" si="94"/>
        <v>Sheets("Master Data").Range("0" &amp; RowNo).Value</v>
      </c>
      <c r="V474" t="e">
        <f t="shared" ca="1" si="103"/>
        <v>#REF!</v>
      </c>
      <c r="X474" t="e">
        <f t="shared" ca="1" si="95"/>
        <v>#REF!</v>
      </c>
      <c r="Z474" t="e">
        <f t="shared" ca="1" si="96"/>
        <v>#REF!</v>
      </c>
      <c r="AB474" t="e">
        <f t="shared" ca="1" si="104"/>
        <v>#REF!</v>
      </c>
      <c r="AD474" t="e">
        <f t="shared" ca="1" si="105"/>
        <v>#REF!</v>
      </c>
    </row>
    <row r="475" spans="1:30" x14ac:dyDescent="0.3">
      <c r="A475" s="150">
        <v>468</v>
      </c>
      <c r="B475" s="150" t="str">
        <f t="shared" si="97"/>
        <v>QZ1</v>
      </c>
      <c r="D475" t="s">
        <v>416</v>
      </c>
      <c r="E475">
        <f t="shared" ca="1" si="98"/>
        <v>0</v>
      </c>
      <c r="F475" t="e">
        <f t="shared" ca="1" si="106"/>
        <v>#REF!</v>
      </c>
      <c r="G475" t="s">
        <v>417</v>
      </c>
      <c r="H475" t="s">
        <v>421</v>
      </c>
      <c r="I475" t="e">
        <f t="shared" ca="1" si="99"/>
        <v>#REF!</v>
      </c>
      <c r="J475" t="e">
        <f t="shared" ca="1" si="100"/>
        <v>#REF!</v>
      </c>
      <c r="K475" t="s">
        <v>431</v>
      </c>
      <c r="L475" s="150" t="s">
        <v>423</v>
      </c>
      <c r="M475" s="150" t="s">
        <v>435</v>
      </c>
      <c r="N475" t="e">
        <f t="shared" ca="1" si="101"/>
        <v>#REF!</v>
      </c>
      <c r="O475" s="150" t="s">
        <v>412</v>
      </c>
      <c r="P475" s="150" t="s">
        <v>428</v>
      </c>
      <c r="Q475" s="150" t="s">
        <v>399</v>
      </c>
      <c r="R475" t="e">
        <f t="shared" ca="1" si="102"/>
        <v>#REF!</v>
      </c>
      <c r="S475" t="s">
        <v>398</v>
      </c>
      <c r="T475" t="s">
        <v>448</v>
      </c>
      <c r="U475" t="str">
        <f t="shared" ca="1" si="94"/>
        <v>Sheets("Master Data").Range("0" &amp; RowNo).Value</v>
      </c>
      <c r="V475" t="e">
        <f t="shared" ca="1" si="103"/>
        <v>#REF!</v>
      </c>
      <c r="X475" t="e">
        <f t="shared" ca="1" si="95"/>
        <v>#REF!</v>
      </c>
      <c r="Z475" t="e">
        <f t="shared" ca="1" si="96"/>
        <v>#REF!</v>
      </c>
      <c r="AB475" t="e">
        <f t="shared" ca="1" si="104"/>
        <v>#REF!</v>
      </c>
      <c r="AD475" t="e">
        <f t="shared" ca="1" si="105"/>
        <v>#REF!</v>
      </c>
    </row>
    <row r="476" spans="1:30" x14ac:dyDescent="0.3">
      <c r="A476" s="150">
        <v>469</v>
      </c>
      <c r="B476" s="150" t="str">
        <f t="shared" si="97"/>
        <v>RA1</v>
      </c>
      <c r="D476" t="s">
        <v>416</v>
      </c>
      <c r="E476">
        <f t="shared" ca="1" si="98"/>
        <v>0</v>
      </c>
      <c r="F476" t="e">
        <f t="shared" ca="1" si="106"/>
        <v>#REF!</v>
      </c>
      <c r="G476" t="s">
        <v>417</v>
      </c>
      <c r="H476" t="s">
        <v>421</v>
      </c>
      <c r="I476" t="e">
        <f t="shared" ca="1" si="99"/>
        <v>#REF!</v>
      </c>
      <c r="J476" t="e">
        <f t="shared" ca="1" si="100"/>
        <v>#REF!</v>
      </c>
      <c r="K476" t="s">
        <v>431</v>
      </c>
      <c r="L476" s="150" t="s">
        <v>423</v>
      </c>
      <c r="M476" s="150" t="s">
        <v>435</v>
      </c>
      <c r="N476" t="e">
        <f t="shared" ca="1" si="101"/>
        <v>#REF!</v>
      </c>
      <c r="O476" s="150" t="s">
        <v>412</v>
      </c>
      <c r="P476" s="150" t="s">
        <v>428</v>
      </c>
      <c r="Q476" s="150" t="s">
        <v>399</v>
      </c>
      <c r="R476" t="e">
        <f t="shared" ca="1" si="102"/>
        <v>#REF!</v>
      </c>
      <c r="S476" t="s">
        <v>398</v>
      </c>
      <c r="T476" t="s">
        <v>448</v>
      </c>
      <c r="U476" t="str">
        <f t="shared" ca="1" si="94"/>
        <v>Sheets("Master Data").Range("0" &amp; RowNo).Value</v>
      </c>
      <c r="V476" t="e">
        <f t="shared" ca="1" si="103"/>
        <v>#REF!</v>
      </c>
      <c r="X476" t="e">
        <f t="shared" ca="1" si="95"/>
        <v>#REF!</v>
      </c>
      <c r="Z476" t="e">
        <f t="shared" ca="1" si="96"/>
        <v>#REF!</v>
      </c>
      <c r="AB476" t="e">
        <f t="shared" ca="1" si="104"/>
        <v>#REF!</v>
      </c>
      <c r="AD476" t="e">
        <f t="shared" ca="1" si="105"/>
        <v>#REF!</v>
      </c>
    </row>
    <row r="477" spans="1:30" x14ac:dyDescent="0.3">
      <c r="A477" s="150">
        <v>470</v>
      </c>
      <c r="B477" s="150" t="str">
        <f t="shared" si="97"/>
        <v>RB1</v>
      </c>
      <c r="D477" t="s">
        <v>416</v>
      </c>
      <c r="E477">
        <f t="shared" ca="1" si="98"/>
        <v>0</v>
      </c>
      <c r="F477" t="e">
        <f t="shared" ca="1" si="106"/>
        <v>#REF!</v>
      </c>
      <c r="G477" t="s">
        <v>417</v>
      </c>
      <c r="H477" t="s">
        <v>421</v>
      </c>
      <c r="I477" t="e">
        <f t="shared" ca="1" si="99"/>
        <v>#REF!</v>
      </c>
      <c r="J477" t="e">
        <f t="shared" ca="1" si="100"/>
        <v>#REF!</v>
      </c>
      <c r="K477" t="s">
        <v>431</v>
      </c>
      <c r="L477" s="150" t="s">
        <v>423</v>
      </c>
      <c r="M477" s="150" t="s">
        <v>435</v>
      </c>
      <c r="N477" t="e">
        <f t="shared" ca="1" si="101"/>
        <v>#REF!</v>
      </c>
      <c r="O477" s="150" t="s">
        <v>412</v>
      </c>
      <c r="P477" s="150" t="s">
        <v>428</v>
      </c>
      <c r="Q477" s="150" t="s">
        <v>399</v>
      </c>
      <c r="R477" t="e">
        <f t="shared" ca="1" si="102"/>
        <v>#REF!</v>
      </c>
      <c r="S477" t="s">
        <v>398</v>
      </c>
      <c r="T477" t="s">
        <v>448</v>
      </c>
      <c r="U477" t="str">
        <f t="shared" ca="1" si="94"/>
        <v>Sheets("Master Data").Range("0" &amp; RowNo).Value</v>
      </c>
      <c r="V477" t="e">
        <f t="shared" ca="1" si="103"/>
        <v>#REF!</v>
      </c>
      <c r="X477" t="e">
        <f t="shared" ca="1" si="95"/>
        <v>#REF!</v>
      </c>
      <c r="Z477" t="e">
        <f t="shared" ca="1" si="96"/>
        <v>#REF!</v>
      </c>
      <c r="AB477" t="e">
        <f t="shared" ca="1" si="104"/>
        <v>#REF!</v>
      </c>
      <c r="AD477" t="e">
        <f t="shared" ca="1" si="105"/>
        <v>#REF!</v>
      </c>
    </row>
    <row r="478" spans="1:30" x14ac:dyDescent="0.3">
      <c r="A478" s="150">
        <v>471</v>
      </c>
      <c r="B478" s="150" t="str">
        <f t="shared" si="97"/>
        <v>RC1</v>
      </c>
      <c r="D478" t="s">
        <v>416</v>
      </c>
      <c r="E478">
        <f t="shared" ca="1" si="98"/>
        <v>0</v>
      </c>
      <c r="F478" t="e">
        <f t="shared" ca="1" si="106"/>
        <v>#REF!</v>
      </c>
      <c r="G478" t="s">
        <v>417</v>
      </c>
      <c r="H478" t="s">
        <v>421</v>
      </c>
      <c r="I478" t="e">
        <f t="shared" ca="1" si="99"/>
        <v>#REF!</v>
      </c>
      <c r="J478" t="e">
        <f t="shared" ca="1" si="100"/>
        <v>#REF!</v>
      </c>
      <c r="K478" t="s">
        <v>431</v>
      </c>
      <c r="L478" s="150" t="s">
        <v>423</v>
      </c>
      <c r="M478" s="150" t="s">
        <v>435</v>
      </c>
      <c r="N478" t="e">
        <f t="shared" ca="1" si="101"/>
        <v>#REF!</v>
      </c>
      <c r="O478" s="150" t="s">
        <v>412</v>
      </c>
      <c r="P478" s="150" t="s">
        <v>428</v>
      </c>
      <c r="Q478" s="150" t="s">
        <v>399</v>
      </c>
      <c r="R478" t="e">
        <f t="shared" ca="1" si="102"/>
        <v>#REF!</v>
      </c>
      <c r="S478" t="s">
        <v>398</v>
      </c>
      <c r="T478" t="s">
        <v>448</v>
      </c>
      <c r="U478" t="str">
        <f t="shared" ca="1" si="94"/>
        <v>Sheets("Master Data").Range("0" &amp; RowNo).Value</v>
      </c>
      <c r="V478" t="e">
        <f t="shared" ca="1" si="103"/>
        <v>#REF!</v>
      </c>
      <c r="X478" t="e">
        <f t="shared" ca="1" si="95"/>
        <v>#REF!</v>
      </c>
      <c r="Z478" t="e">
        <f t="shared" ca="1" si="96"/>
        <v>#REF!</v>
      </c>
      <c r="AB478" t="e">
        <f t="shared" ca="1" si="104"/>
        <v>#REF!</v>
      </c>
      <c r="AD478" t="e">
        <f t="shared" ca="1" si="105"/>
        <v>#REF!</v>
      </c>
    </row>
    <row r="479" spans="1:30" x14ac:dyDescent="0.3">
      <c r="A479" s="150">
        <v>472</v>
      </c>
      <c r="B479" s="150" t="str">
        <f t="shared" si="97"/>
        <v>RD1</v>
      </c>
      <c r="D479" t="s">
        <v>416</v>
      </c>
      <c r="E479">
        <f t="shared" ca="1" si="98"/>
        <v>0</v>
      </c>
      <c r="F479" t="e">
        <f t="shared" ca="1" si="106"/>
        <v>#REF!</v>
      </c>
      <c r="G479" t="s">
        <v>417</v>
      </c>
      <c r="H479" t="s">
        <v>421</v>
      </c>
      <c r="I479" t="e">
        <f t="shared" ca="1" si="99"/>
        <v>#REF!</v>
      </c>
      <c r="J479" t="e">
        <f t="shared" ca="1" si="100"/>
        <v>#REF!</v>
      </c>
      <c r="K479" t="s">
        <v>431</v>
      </c>
      <c r="L479" s="150" t="s">
        <v>423</v>
      </c>
      <c r="M479" s="150" t="s">
        <v>435</v>
      </c>
      <c r="N479" t="e">
        <f t="shared" ca="1" si="101"/>
        <v>#REF!</v>
      </c>
      <c r="O479" s="150" t="s">
        <v>412</v>
      </c>
      <c r="P479" s="150" t="s">
        <v>428</v>
      </c>
      <c r="Q479" s="150" t="s">
        <v>399</v>
      </c>
      <c r="R479" t="e">
        <f t="shared" ca="1" si="102"/>
        <v>#REF!</v>
      </c>
      <c r="S479" t="s">
        <v>398</v>
      </c>
      <c r="T479" t="s">
        <v>448</v>
      </c>
      <c r="U479" t="str">
        <f t="shared" ca="1" si="94"/>
        <v>Sheets("Master Data").Range("0" &amp; RowNo).Value</v>
      </c>
      <c r="V479" t="e">
        <f t="shared" ca="1" si="103"/>
        <v>#REF!</v>
      </c>
      <c r="X479" t="e">
        <f t="shared" ca="1" si="95"/>
        <v>#REF!</v>
      </c>
      <c r="Z479" t="e">
        <f t="shared" ca="1" si="96"/>
        <v>#REF!</v>
      </c>
      <c r="AB479" t="e">
        <f t="shared" ca="1" si="104"/>
        <v>#REF!</v>
      </c>
      <c r="AD479" t="e">
        <f t="shared" ca="1" si="105"/>
        <v>#REF!</v>
      </c>
    </row>
    <row r="480" spans="1:30" x14ac:dyDescent="0.3">
      <c r="A480" s="150">
        <v>473</v>
      </c>
      <c r="B480" s="150" t="str">
        <f t="shared" si="97"/>
        <v>RE1</v>
      </c>
      <c r="D480" t="s">
        <v>416</v>
      </c>
      <c r="E480">
        <f t="shared" ca="1" si="98"/>
        <v>0</v>
      </c>
      <c r="F480" t="e">
        <f t="shared" ca="1" si="106"/>
        <v>#REF!</v>
      </c>
      <c r="G480" t="s">
        <v>417</v>
      </c>
      <c r="H480" t="s">
        <v>421</v>
      </c>
      <c r="I480" t="e">
        <f t="shared" ca="1" si="99"/>
        <v>#REF!</v>
      </c>
      <c r="J480" t="e">
        <f t="shared" ca="1" si="100"/>
        <v>#REF!</v>
      </c>
      <c r="K480" t="s">
        <v>431</v>
      </c>
      <c r="L480" s="150" t="s">
        <v>423</v>
      </c>
      <c r="M480" s="150" t="s">
        <v>435</v>
      </c>
      <c r="N480" t="e">
        <f t="shared" ca="1" si="101"/>
        <v>#REF!</v>
      </c>
      <c r="O480" s="150" t="s">
        <v>412</v>
      </c>
      <c r="P480" s="150" t="s">
        <v>428</v>
      </c>
      <c r="Q480" s="150" t="s">
        <v>399</v>
      </c>
      <c r="R480" t="e">
        <f t="shared" ca="1" si="102"/>
        <v>#REF!</v>
      </c>
      <c r="S480" t="s">
        <v>398</v>
      </c>
      <c r="T480" t="s">
        <v>448</v>
      </c>
      <c r="U480" t="str">
        <f t="shared" ca="1" si="94"/>
        <v>Sheets("Master Data").Range("0" &amp; RowNo).Value</v>
      </c>
      <c r="V480" t="e">
        <f t="shared" ca="1" si="103"/>
        <v>#REF!</v>
      </c>
      <c r="X480" t="e">
        <f t="shared" ca="1" si="95"/>
        <v>#REF!</v>
      </c>
      <c r="Z480" t="e">
        <f t="shared" ca="1" si="96"/>
        <v>#REF!</v>
      </c>
      <c r="AB480" t="e">
        <f t="shared" ca="1" si="104"/>
        <v>#REF!</v>
      </c>
      <c r="AD480" t="e">
        <f t="shared" ca="1" si="105"/>
        <v>#REF!</v>
      </c>
    </row>
    <row r="481" spans="1:30" x14ac:dyDescent="0.3">
      <c r="A481" s="150">
        <v>474</v>
      </c>
      <c r="B481" s="150" t="str">
        <f t="shared" si="97"/>
        <v>RF1</v>
      </c>
      <c r="D481" t="s">
        <v>416</v>
      </c>
      <c r="E481">
        <f t="shared" ca="1" si="98"/>
        <v>0</v>
      </c>
      <c r="F481" t="e">
        <f t="shared" ca="1" si="106"/>
        <v>#REF!</v>
      </c>
      <c r="G481" t="s">
        <v>417</v>
      </c>
      <c r="H481" t="s">
        <v>421</v>
      </c>
      <c r="I481" t="e">
        <f t="shared" ca="1" si="99"/>
        <v>#REF!</v>
      </c>
      <c r="J481" t="e">
        <f t="shared" ca="1" si="100"/>
        <v>#REF!</v>
      </c>
      <c r="K481" t="s">
        <v>431</v>
      </c>
      <c r="L481" s="150" t="s">
        <v>423</v>
      </c>
      <c r="M481" s="150" t="s">
        <v>435</v>
      </c>
      <c r="N481" t="e">
        <f t="shared" ca="1" si="101"/>
        <v>#REF!</v>
      </c>
      <c r="O481" s="150" t="s">
        <v>412</v>
      </c>
      <c r="P481" s="150" t="s">
        <v>428</v>
      </c>
      <c r="Q481" s="150" t="s">
        <v>399</v>
      </c>
      <c r="R481" t="e">
        <f t="shared" ca="1" si="102"/>
        <v>#REF!</v>
      </c>
      <c r="S481" t="s">
        <v>398</v>
      </c>
      <c r="T481" t="s">
        <v>448</v>
      </c>
      <c r="U481" t="str">
        <f t="shared" ca="1" si="94"/>
        <v>Sheets("Master Data").Range("0" &amp; RowNo).Value</v>
      </c>
      <c r="V481" t="e">
        <f t="shared" ca="1" si="103"/>
        <v>#REF!</v>
      </c>
      <c r="X481" t="e">
        <f t="shared" ca="1" si="95"/>
        <v>#REF!</v>
      </c>
      <c r="Z481" t="e">
        <f t="shared" ca="1" si="96"/>
        <v>#REF!</v>
      </c>
      <c r="AB481" t="e">
        <f t="shared" ca="1" si="104"/>
        <v>#REF!</v>
      </c>
      <c r="AD481" t="e">
        <f t="shared" ca="1" si="105"/>
        <v>#REF!</v>
      </c>
    </row>
    <row r="482" spans="1:30" x14ac:dyDescent="0.3">
      <c r="A482" s="150">
        <v>475</v>
      </c>
      <c r="B482" s="150" t="str">
        <f t="shared" si="97"/>
        <v>RG1</v>
      </c>
      <c r="D482" t="s">
        <v>416</v>
      </c>
      <c r="E482">
        <f t="shared" ca="1" si="98"/>
        <v>0</v>
      </c>
      <c r="F482" t="e">
        <f t="shared" ca="1" si="106"/>
        <v>#REF!</v>
      </c>
      <c r="G482" t="s">
        <v>417</v>
      </c>
      <c r="H482" t="s">
        <v>421</v>
      </c>
      <c r="I482" t="e">
        <f t="shared" ca="1" si="99"/>
        <v>#REF!</v>
      </c>
      <c r="J482" t="e">
        <f t="shared" ca="1" si="100"/>
        <v>#REF!</v>
      </c>
      <c r="K482" t="s">
        <v>431</v>
      </c>
      <c r="L482" s="150" t="s">
        <v>423</v>
      </c>
      <c r="M482" s="150" t="s">
        <v>435</v>
      </c>
      <c r="N482" t="e">
        <f t="shared" ca="1" si="101"/>
        <v>#REF!</v>
      </c>
      <c r="O482" s="150" t="s">
        <v>412</v>
      </c>
      <c r="P482" s="150" t="s">
        <v>428</v>
      </c>
      <c r="Q482" s="150" t="s">
        <v>399</v>
      </c>
      <c r="R482" t="e">
        <f t="shared" ca="1" si="102"/>
        <v>#REF!</v>
      </c>
      <c r="S482" t="s">
        <v>398</v>
      </c>
      <c r="T482" t="s">
        <v>448</v>
      </c>
      <c r="U482" t="str">
        <f t="shared" ca="1" si="94"/>
        <v>Sheets("Master Data").Range("0" &amp; RowNo).Value</v>
      </c>
      <c r="V482" t="e">
        <f t="shared" ca="1" si="103"/>
        <v>#REF!</v>
      </c>
      <c r="X482" t="e">
        <f t="shared" ca="1" si="95"/>
        <v>#REF!</v>
      </c>
      <c r="Z482" t="e">
        <f t="shared" ca="1" si="96"/>
        <v>#REF!</v>
      </c>
      <c r="AB482" t="e">
        <f t="shared" ca="1" si="104"/>
        <v>#REF!</v>
      </c>
      <c r="AD482" t="e">
        <f t="shared" ca="1" si="105"/>
        <v>#REF!</v>
      </c>
    </row>
    <row r="483" spans="1:30" x14ac:dyDescent="0.3">
      <c r="A483" s="150">
        <v>476</v>
      </c>
      <c r="B483" s="150" t="str">
        <f t="shared" si="97"/>
        <v>RH1</v>
      </c>
      <c r="D483" t="s">
        <v>416</v>
      </c>
      <c r="E483">
        <f t="shared" ca="1" si="98"/>
        <v>0</v>
      </c>
      <c r="F483" t="e">
        <f t="shared" ca="1" si="106"/>
        <v>#REF!</v>
      </c>
      <c r="G483" t="s">
        <v>417</v>
      </c>
      <c r="H483" t="s">
        <v>421</v>
      </c>
      <c r="I483" t="e">
        <f t="shared" ca="1" si="99"/>
        <v>#REF!</v>
      </c>
      <c r="J483" t="e">
        <f t="shared" ca="1" si="100"/>
        <v>#REF!</v>
      </c>
      <c r="K483" t="s">
        <v>431</v>
      </c>
      <c r="L483" s="150" t="s">
        <v>423</v>
      </c>
      <c r="M483" s="150" t="s">
        <v>435</v>
      </c>
      <c r="N483" t="e">
        <f t="shared" ca="1" si="101"/>
        <v>#REF!</v>
      </c>
      <c r="O483" s="150" t="s">
        <v>412</v>
      </c>
      <c r="P483" s="150" t="s">
        <v>428</v>
      </c>
      <c r="Q483" s="150" t="s">
        <v>399</v>
      </c>
      <c r="R483" t="e">
        <f t="shared" ca="1" si="102"/>
        <v>#REF!</v>
      </c>
      <c r="S483" t="s">
        <v>398</v>
      </c>
      <c r="T483" t="s">
        <v>448</v>
      </c>
      <c r="U483" t="str">
        <f t="shared" ca="1" si="94"/>
        <v>Sheets("Master Data").Range("0" &amp; RowNo).Value</v>
      </c>
      <c r="V483" t="e">
        <f t="shared" ca="1" si="103"/>
        <v>#REF!</v>
      </c>
      <c r="X483" t="e">
        <f t="shared" ca="1" si="95"/>
        <v>#REF!</v>
      </c>
      <c r="Z483" t="e">
        <f t="shared" ca="1" si="96"/>
        <v>#REF!</v>
      </c>
      <c r="AB483" t="e">
        <f t="shared" ca="1" si="104"/>
        <v>#REF!</v>
      </c>
      <c r="AD483" t="e">
        <f t="shared" ca="1" si="105"/>
        <v>#REF!</v>
      </c>
    </row>
    <row r="484" spans="1:30" x14ac:dyDescent="0.3">
      <c r="A484" s="150">
        <v>477</v>
      </c>
      <c r="B484" s="150" t="str">
        <f t="shared" si="97"/>
        <v>RI1</v>
      </c>
      <c r="D484" t="s">
        <v>416</v>
      </c>
      <c r="E484">
        <f t="shared" ca="1" si="98"/>
        <v>0</v>
      </c>
      <c r="F484" t="e">
        <f t="shared" ca="1" si="106"/>
        <v>#REF!</v>
      </c>
      <c r="G484" t="s">
        <v>417</v>
      </c>
      <c r="H484" t="s">
        <v>421</v>
      </c>
      <c r="I484" t="e">
        <f t="shared" ca="1" si="99"/>
        <v>#REF!</v>
      </c>
      <c r="J484" t="e">
        <f t="shared" ca="1" si="100"/>
        <v>#REF!</v>
      </c>
      <c r="K484" t="s">
        <v>431</v>
      </c>
      <c r="L484" s="150" t="s">
        <v>423</v>
      </c>
      <c r="M484" s="150" t="s">
        <v>435</v>
      </c>
      <c r="N484" t="e">
        <f t="shared" ca="1" si="101"/>
        <v>#REF!</v>
      </c>
      <c r="O484" s="150" t="s">
        <v>412</v>
      </c>
      <c r="P484" s="150" t="s">
        <v>428</v>
      </c>
      <c r="Q484" s="150" t="s">
        <v>399</v>
      </c>
      <c r="R484" t="e">
        <f t="shared" ca="1" si="102"/>
        <v>#REF!</v>
      </c>
      <c r="S484" t="s">
        <v>398</v>
      </c>
      <c r="T484" t="s">
        <v>448</v>
      </c>
      <c r="U484" t="str">
        <f t="shared" ca="1" si="94"/>
        <v>Sheets("Master Data").Range("0" &amp; RowNo).Value</v>
      </c>
      <c r="V484" t="e">
        <f t="shared" ca="1" si="103"/>
        <v>#REF!</v>
      </c>
      <c r="X484" t="e">
        <f t="shared" ca="1" si="95"/>
        <v>#REF!</v>
      </c>
      <c r="Z484" t="e">
        <f t="shared" ca="1" si="96"/>
        <v>#REF!</v>
      </c>
      <c r="AB484" t="e">
        <f t="shared" ca="1" si="104"/>
        <v>#REF!</v>
      </c>
      <c r="AD484" t="e">
        <f t="shared" ca="1" si="105"/>
        <v>#REF!</v>
      </c>
    </row>
    <row r="485" spans="1:30" x14ac:dyDescent="0.3">
      <c r="A485" s="150">
        <v>478</v>
      </c>
      <c r="B485" s="150" t="str">
        <f t="shared" si="97"/>
        <v>RJ1</v>
      </c>
      <c r="D485" t="s">
        <v>416</v>
      </c>
      <c r="E485">
        <f t="shared" ca="1" si="98"/>
        <v>0</v>
      </c>
      <c r="F485" t="e">
        <f t="shared" ca="1" si="106"/>
        <v>#REF!</v>
      </c>
      <c r="G485" t="s">
        <v>417</v>
      </c>
      <c r="H485" t="s">
        <v>421</v>
      </c>
      <c r="I485" t="e">
        <f t="shared" ca="1" si="99"/>
        <v>#REF!</v>
      </c>
      <c r="J485" t="e">
        <f t="shared" ca="1" si="100"/>
        <v>#REF!</v>
      </c>
      <c r="K485" t="s">
        <v>431</v>
      </c>
      <c r="L485" s="150" t="s">
        <v>423</v>
      </c>
      <c r="M485" s="150" t="s">
        <v>435</v>
      </c>
      <c r="N485" t="e">
        <f t="shared" ca="1" si="101"/>
        <v>#REF!</v>
      </c>
      <c r="O485" s="150" t="s">
        <v>412</v>
      </c>
      <c r="P485" s="150" t="s">
        <v>428</v>
      </c>
      <c r="Q485" s="150" t="s">
        <v>399</v>
      </c>
      <c r="R485" t="e">
        <f t="shared" ca="1" si="102"/>
        <v>#REF!</v>
      </c>
      <c r="S485" t="s">
        <v>398</v>
      </c>
      <c r="T485" t="s">
        <v>448</v>
      </c>
      <c r="U485" t="str">
        <f t="shared" ca="1" si="94"/>
        <v>Sheets("Master Data").Range("0" &amp; RowNo).Value</v>
      </c>
      <c r="V485" t="e">
        <f t="shared" ca="1" si="103"/>
        <v>#REF!</v>
      </c>
      <c r="X485" t="e">
        <f t="shared" ca="1" si="95"/>
        <v>#REF!</v>
      </c>
      <c r="Z485" t="e">
        <f t="shared" ca="1" si="96"/>
        <v>#REF!</v>
      </c>
      <c r="AB485" t="e">
        <f t="shared" ca="1" si="104"/>
        <v>#REF!</v>
      </c>
      <c r="AD485" t="e">
        <f t="shared" ca="1" si="105"/>
        <v>#REF!</v>
      </c>
    </row>
    <row r="486" spans="1:30" x14ac:dyDescent="0.3">
      <c r="A486" s="150">
        <v>479</v>
      </c>
      <c r="B486" s="150" t="str">
        <f t="shared" si="97"/>
        <v>RK1</v>
      </c>
      <c r="D486" t="s">
        <v>416</v>
      </c>
      <c r="E486">
        <f t="shared" ca="1" si="98"/>
        <v>0</v>
      </c>
      <c r="F486" t="e">
        <f t="shared" ca="1" si="106"/>
        <v>#REF!</v>
      </c>
      <c r="G486" t="s">
        <v>417</v>
      </c>
      <c r="H486" t="s">
        <v>421</v>
      </c>
      <c r="I486" t="e">
        <f t="shared" ca="1" si="99"/>
        <v>#REF!</v>
      </c>
      <c r="J486" t="e">
        <f t="shared" ca="1" si="100"/>
        <v>#REF!</v>
      </c>
      <c r="K486" t="s">
        <v>431</v>
      </c>
      <c r="L486" s="150" t="s">
        <v>423</v>
      </c>
      <c r="M486" s="150" t="s">
        <v>435</v>
      </c>
      <c r="N486" t="e">
        <f t="shared" ca="1" si="101"/>
        <v>#REF!</v>
      </c>
      <c r="O486" s="150" t="s">
        <v>412</v>
      </c>
      <c r="P486" s="150" t="s">
        <v>428</v>
      </c>
      <c r="Q486" s="150" t="s">
        <v>399</v>
      </c>
      <c r="R486" t="e">
        <f t="shared" ca="1" si="102"/>
        <v>#REF!</v>
      </c>
      <c r="S486" t="s">
        <v>398</v>
      </c>
      <c r="T486" t="s">
        <v>448</v>
      </c>
      <c r="U486" t="str">
        <f t="shared" ca="1" si="94"/>
        <v>Sheets("Master Data").Range("0" &amp; RowNo).Value</v>
      </c>
      <c r="V486" t="e">
        <f t="shared" ca="1" si="103"/>
        <v>#REF!</v>
      </c>
      <c r="X486" t="e">
        <f t="shared" ca="1" si="95"/>
        <v>#REF!</v>
      </c>
      <c r="Z486" t="e">
        <f t="shared" ca="1" si="96"/>
        <v>#REF!</v>
      </c>
      <c r="AB486" t="e">
        <f t="shared" ca="1" si="104"/>
        <v>#REF!</v>
      </c>
      <c r="AD486" t="e">
        <f t="shared" ca="1" si="105"/>
        <v>#REF!</v>
      </c>
    </row>
    <row r="487" spans="1:30" x14ac:dyDescent="0.3">
      <c r="A487" s="150">
        <v>480</v>
      </c>
      <c r="B487" s="150" t="str">
        <f t="shared" si="97"/>
        <v>RL1</v>
      </c>
      <c r="D487" t="s">
        <v>416</v>
      </c>
      <c r="E487">
        <f t="shared" ca="1" si="98"/>
        <v>0</v>
      </c>
      <c r="F487" t="e">
        <f t="shared" ca="1" si="106"/>
        <v>#REF!</v>
      </c>
      <c r="G487" t="s">
        <v>417</v>
      </c>
      <c r="H487" t="s">
        <v>421</v>
      </c>
      <c r="I487" t="e">
        <f t="shared" ca="1" si="99"/>
        <v>#REF!</v>
      </c>
      <c r="J487" t="e">
        <f t="shared" ca="1" si="100"/>
        <v>#REF!</v>
      </c>
      <c r="K487" t="s">
        <v>431</v>
      </c>
      <c r="L487" s="150" t="s">
        <v>423</v>
      </c>
      <c r="M487" s="150" t="s">
        <v>435</v>
      </c>
      <c r="N487" t="e">
        <f t="shared" ca="1" si="101"/>
        <v>#REF!</v>
      </c>
      <c r="O487" s="150" t="s">
        <v>412</v>
      </c>
      <c r="P487" s="150" t="s">
        <v>428</v>
      </c>
      <c r="Q487" s="150" t="s">
        <v>399</v>
      </c>
      <c r="R487" t="e">
        <f t="shared" ca="1" si="102"/>
        <v>#REF!</v>
      </c>
      <c r="S487" t="s">
        <v>398</v>
      </c>
      <c r="T487" t="s">
        <v>448</v>
      </c>
      <c r="U487" t="str">
        <f t="shared" ca="1" si="94"/>
        <v>Sheets("Master Data").Range("0" &amp; RowNo).Value</v>
      </c>
      <c r="V487" t="e">
        <f t="shared" ca="1" si="103"/>
        <v>#REF!</v>
      </c>
      <c r="X487" t="e">
        <f t="shared" ca="1" si="95"/>
        <v>#REF!</v>
      </c>
      <c r="Z487" t="e">
        <f t="shared" ca="1" si="96"/>
        <v>#REF!</v>
      </c>
      <c r="AB487" t="e">
        <f t="shared" ca="1" si="104"/>
        <v>#REF!</v>
      </c>
      <c r="AD487" t="e">
        <f t="shared" ca="1" si="105"/>
        <v>#REF!</v>
      </c>
    </row>
    <row r="488" spans="1:30" x14ac:dyDescent="0.3">
      <c r="A488" s="150">
        <v>481</v>
      </c>
      <c r="B488" s="150" t="str">
        <f t="shared" si="97"/>
        <v>RM1</v>
      </c>
      <c r="D488" t="s">
        <v>416</v>
      </c>
      <c r="E488">
        <f t="shared" ca="1" si="98"/>
        <v>0</v>
      </c>
      <c r="F488" t="e">
        <f t="shared" ca="1" si="106"/>
        <v>#REF!</v>
      </c>
      <c r="G488" t="s">
        <v>417</v>
      </c>
      <c r="H488" t="s">
        <v>421</v>
      </c>
      <c r="I488" t="e">
        <f t="shared" ca="1" si="99"/>
        <v>#REF!</v>
      </c>
      <c r="J488" t="e">
        <f t="shared" ca="1" si="100"/>
        <v>#REF!</v>
      </c>
      <c r="K488" t="s">
        <v>431</v>
      </c>
      <c r="L488" s="150" t="s">
        <v>423</v>
      </c>
      <c r="M488" s="150" t="s">
        <v>435</v>
      </c>
      <c r="N488" t="e">
        <f t="shared" ca="1" si="101"/>
        <v>#REF!</v>
      </c>
      <c r="O488" s="150" t="s">
        <v>412</v>
      </c>
      <c r="P488" s="150" t="s">
        <v>428</v>
      </c>
      <c r="Q488" s="150" t="s">
        <v>399</v>
      </c>
      <c r="R488" t="e">
        <f t="shared" ca="1" si="102"/>
        <v>#REF!</v>
      </c>
      <c r="S488" t="s">
        <v>398</v>
      </c>
      <c r="T488" t="s">
        <v>448</v>
      </c>
      <c r="U488" t="str">
        <f t="shared" ca="1" si="94"/>
        <v>Sheets("Master Data").Range("0" &amp; RowNo).Value</v>
      </c>
      <c r="V488" t="e">
        <f t="shared" ca="1" si="103"/>
        <v>#REF!</v>
      </c>
      <c r="X488" t="e">
        <f t="shared" ca="1" si="95"/>
        <v>#REF!</v>
      </c>
      <c r="Z488" t="e">
        <f t="shared" ca="1" si="96"/>
        <v>#REF!</v>
      </c>
      <c r="AB488" t="e">
        <f t="shared" ca="1" si="104"/>
        <v>#REF!</v>
      </c>
      <c r="AD488" t="e">
        <f t="shared" ca="1" si="105"/>
        <v>#REF!</v>
      </c>
    </row>
    <row r="489" spans="1:30" x14ac:dyDescent="0.3">
      <c r="A489" s="150">
        <v>482</v>
      </c>
      <c r="B489" s="150" t="str">
        <f t="shared" si="97"/>
        <v>RN1</v>
      </c>
      <c r="D489" t="s">
        <v>416</v>
      </c>
      <c r="E489">
        <f t="shared" ca="1" si="98"/>
        <v>0</v>
      </c>
      <c r="F489" t="e">
        <f t="shared" ca="1" si="106"/>
        <v>#REF!</v>
      </c>
      <c r="G489" t="s">
        <v>417</v>
      </c>
      <c r="H489" t="s">
        <v>421</v>
      </c>
      <c r="I489" t="e">
        <f t="shared" ca="1" si="99"/>
        <v>#REF!</v>
      </c>
      <c r="J489" t="e">
        <f t="shared" ca="1" si="100"/>
        <v>#REF!</v>
      </c>
      <c r="K489" t="s">
        <v>431</v>
      </c>
      <c r="L489" s="150" t="s">
        <v>423</v>
      </c>
      <c r="M489" s="150" t="s">
        <v>435</v>
      </c>
      <c r="N489" t="e">
        <f t="shared" ca="1" si="101"/>
        <v>#REF!</v>
      </c>
      <c r="O489" s="150" t="s">
        <v>412</v>
      </c>
      <c r="P489" s="150" t="s">
        <v>428</v>
      </c>
      <c r="Q489" s="150" t="s">
        <v>399</v>
      </c>
      <c r="R489" t="e">
        <f t="shared" ca="1" si="102"/>
        <v>#REF!</v>
      </c>
      <c r="S489" t="s">
        <v>398</v>
      </c>
      <c r="T489" t="s">
        <v>448</v>
      </c>
      <c r="U489" t="str">
        <f t="shared" ca="1" si="94"/>
        <v>Sheets("Master Data").Range("0" &amp; RowNo).Value</v>
      </c>
      <c r="V489" t="e">
        <f t="shared" ca="1" si="103"/>
        <v>#REF!</v>
      </c>
      <c r="X489" t="e">
        <f t="shared" ca="1" si="95"/>
        <v>#REF!</v>
      </c>
      <c r="Z489" t="e">
        <f t="shared" ca="1" si="96"/>
        <v>#REF!</v>
      </c>
      <c r="AB489" t="e">
        <f t="shared" ca="1" si="104"/>
        <v>#REF!</v>
      </c>
      <c r="AD489" t="e">
        <f t="shared" ca="1" si="105"/>
        <v>#REF!</v>
      </c>
    </row>
    <row r="490" spans="1:30" x14ac:dyDescent="0.3">
      <c r="A490" s="150">
        <v>483</v>
      </c>
      <c r="B490" s="150" t="str">
        <f t="shared" si="97"/>
        <v>RO1</v>
      </c>
      <c r="D490" t="s">
        <v>416</v>
      </c>
      <c r="E490">
        <f t="shared" ca="1" si="98"/>
        <v>0</v>
      </c>
      <c r="F490" t="e">
        <f t="shared" ca="1" si="106"/>
        <v>#REF!</v>
      </c>
      <c r="G490" t="s">
        <v>417</v>
      </c>
      <c r="H490" t="s">
        <v>421</v>
      </c>
      <c r="I490" t="e">
        <f t="shared" ca="1" si="99"/>
        <v>#REF!</v>
      </c>
      <c r="J490" t="e">
        <f t="shared" ca="1" si="100"/>
        <v>#REF!</v>
      </c>
      <c r="K490" t="s">
        <v>431</v>
      </c>
      <c r="L490" s="150" t="s">
        <v>423</v>
      </c>
      <c r="M490" s="150" t="s">
        <v>435</v>
      </c>
      <c r="N490" t="e">
        <f t="shared" ca="1" si="101"/>
        <v>#REF!</v>
      </c>
      <c r="O490" s="150" t="s">
        <v>412</v>
      </c>
      <c r="P490" s="150" t="s">
        <v>428</v>
      </c>
      <c r="Q490" s="150" t="s">
        <v>399</v>
      </c>
      <c r="R490" t="e">
        <f t="shared" ca="1" si="102"/>
        <v>#REF!</v>
      </c>
      <c r="S490" t="s">
        <v>398</v>
      </c>
      <c r="T490" t="s">
        <v>448</v>
      </c>
      <c r="U490" t="str">
        <f t="shared" ca="1" si="94"/>
        <v>Sheets("Master Data").Range("0" &amp; RowNo).Value</v>
      </c>
      <c r="V490" t="e">
        <f t="shared" ca="1" si="103"/>
        <v>#REF!</v>
      </c>
      <c r="X490" t="e">
        <f t="shared" ca="1" si="95"/>
        <v>#REF!</v>
      </c>
      <c r="Z490" t="e">
        <f t="shared" ca="1" si="96"/>
        <v>#REF!</v>
      </c>
      <c r="AB490" t="e">
        <f t="shared" ca="1" si="104"/>
        <v>#REF!</v>
      </c>
      <c r="AD490" t="e">
        <f t="shared" ca="1" si="105"/>
        <v>#REF!</v>
      </c>
    </row>
    <row r="491" spans="1:30" x14ac:dyDescent="0.3">
      <c r="A491" s="150">
        <v>484</v>
      </c>
      <c r="B491" s="150" t="str">
        <f t="shared" si="97"/>
        <v>RP1</v>
      </c>
      <c r="D491" t="s">
        <v>416</v>
      </c>
      <c r="E491">
        <f t="shared" ca="1" si="98"/>
        <v>0</v>
      </c>
      <c r="F491" t="e">
        <f t="shared" ca="1" si="106"/>
        <v>#REF!</v>
      </c>
      <c r="G491" t="s">
        <v>417</v>
      </c>
      <c r="H491" t="s">
        <v>421</v>
      </c>
      <c r="I491" t="e">
        <f t="shared" ca="1" si="99"/>
        <v>#REF!</v>
      </c>
      <c r="J491" t="e">
        <f t="shared" ca="1" si="100"/>
        <v>#REF!</v>
      </c>
      <c r="K491" t="s">
        <v>431</v>
      </c>
      <c r="L491" s="150" t="s">
        <v>423</v>
      </c>
      <c r="M491" s="150" t="s">
        <v>435</v>
      </c>
      <c r="N491" t="e">
        <f t="shared" ca="1" si="101"/>
        <v>#REF!</v>
      </c>
      <c r="O491" s="150" t="s">
        <v>412</v>
      </c>
      <c r="P491" s="150" t="s">
        <v>428</v>
      </c>
      <c r="Q491" s="150" t="s">
        <v>399</v>
      </c>
      <c r="R491" t="e">
        <f t="shared" ca="1" si="102"/>
        <v>#REF!</v>
      </c>
      <c r="S491" t="s">
        <v>398</v>
      </c>
      <c r="T491" t="s">
        <v>448</v>
      </c>
      <c r="U491" t="str">
        <f t="shared" ca="1" si="94"/>
        <v>Sheets("Master Data").Range("0" &amp; RowNo).Value</v>
      </c>
      <c r="V491" t="e">
        <f t="shared" ca="1" si="103"/>
        <v>#REF!</v>
      </c>
      <c r="X491" t="e">
        <f t="shared" ca="1" si="95"/>
        <v>#REF!</v>
      </c>
      <c r="Z491" t="e">
        <f t="shared" ca="1" si="96"/>
        <v>#REF!</v>
      </c>
      <c r="AB491" t="e">
        <f t="shared" ca="1" si="104"/>
        <v>#REF!</v>
      </c>
      <c r="AD491" t="e">
        <f t="shared" ca="1" si="105"/>
        <v>#REF!</v>
      </c>
    </row>
    <row r="492" spans="1:30" x14ac:dyDescent="0.3">
      <c r="A492" s="150">
        <v>485</v>
      </c>
      <c r="B492" s="150" t="str">
        <f t="shared" si="97"/>
        <v>RQ1</v>
      </c>
      <c r="D492" t="s">
        <v>416</v>
      </c>
      <c r="E492">
        <f t="shared" ca="1" si="98"/>
        <v>0</v>
      </c>
      <c r="F492" t="e">
        <f t="shared" ca="1" si="106"/>
        <v>#REF!</v>
      </c>
      <c r="G492" t="s">
        <v>417</v>
      </c>
      <c r="H492" t="s">
        <v>421</v>
      </c>
      <c r="I492" t="e">
        <f t="shared" ca="1" si="99"/>
        <v>#REF!</v>
      </c>
      <c r="J492" t="e">
        <f t="shared" ca="1" si="100"/>
        <v>#REF!</v>
      </c>
      <c r="K492" t="s">
        <v>431</v>
      </c>
      <c r="L492" s="150" t="s">
        <v>423</v>
      </c>
      <c r="M492" s="150" t="s">
        <v>435</v>
      </c>
      <c r="N492" t="e">
        <f t="shared" ca="1" si="101"/>
        <v>#REF!</v>
      </c>
      <c r="O492" s="150" t="s">
        <v>412</v>
      </c>
      <c r="P492" s="150" t="s">
        <v>428</v>
      </c>
      <c r="Q492" s="150" t="s">
        <v>399</v>
      </c>
      <c r="R492" t="e">
        <f t="shared" ca="1" si="102"/>
        <v>#REF!</v>
      </c>
      <c r="S492" t="s">
        <v>398</v>
      </c>
      <c r="T492" t="s">
        <v>448</v>
      </c>
      <c r="U492" t="str">
        <f t="shared" ca="1" si="94"/>
        <v>Sheets("Master Data").Range("0" &amp; RowNo).Value</v>
      </c>
      <c r="V492" t="e">
        <f t="shared" ca="1" si="103"/>
        <v>#REF!</v>
      </c>
      <c r="X492" t="e">
        <f t="shared" ca="1" si="95"/>
        <v>#REF!</v>
      </c>
      <c r="Z492" t="e">
        <f t="shared" ca="1" si="96"/>
        <v>#REF!</v>
      </c>
      <c r="AB492" t="e">
        <f t="shared" ca="1" si="104"/>
        <v>#REF!</v>
      </c>
      <c r="AD492" t="e">
        <f t="shared" ca="1" si="105"/>
        <v>#REF!</v>
      </c>
    </row>
    <row r="493" spans="1:30" x14ac:dyDescent="0.3">
      <c r="A493" s="150">
        <v>486</v>
      </c>
      <c r="B493" s="150" t="str">
        <f t="shared" si="97"/>
        <v>RR1</v>
      </c>
      <c r="D493" t="s">
        <v>416</v>
      </c>
      <c r="E493">
        <f t="shared" ca="1" si="98"/>
        <v>0</v>
      </c>
      <c r="F493" t="e">
        <f t="shared" ca="1" si="106"/>
        <v>#REF!</v>
      </c>
      <c r="G493" t="s">
        <v>417</v>
      </c>
      <c r="H493" t="s">
        <v>421</v>
      </c>
      <c r="I493" t="e">
        <f t="shared" ca="1" si="99"/>
        <v>#REF!</v>
      </c>
      <c r="J493" t="e">
        <f t="shared" ca="1" si="100"/>
        <v>#REF!</v>
      </c>
      <c r="K493" t="s">
        <v>431</v>
      </c>
      <c r="L493" s="150" t="s">
        <v>423</v>
      </c>
      <c r="M493" s="150" t="s">
        <v>435</v>
      </c>
      <c r="N493" t="e">
        <f t="shared" ca="1" si="101"/>
        <v>#REF!</v>
      </c>
      <c r="O493" s="150" t="s">
        <v>412</v>
      </c>
      <c r="P493" s="150" t="s">
        <v>428</v>
      </c>
      <c r="Q493" s="150" t="s">
        <v>399</v>
      </c>
      <c r="R493" t="e">
        <f t="shared" ca="1" si="102"/>
        <v>#REF!</v>
      </c>
      <c r="S493" t="s">
        <v>398</v>
      </c>
      <c r="T493" t="s">
        <v>448</v>
      </c>
      <c r="U493" t="str">
        <f t="shared" ca="1" si="94"/>
        <v>Sheets("Master Data").Range("0" &amp; RowNo).Value</v>
      </c>
      <c r="V493" t="e">
        <f t="shared" ca="1" si="103"/>
        <v>#REF!</v>
      </c>
      <c r="X493" t="e">
        <f t="shared" ca="1" si="95"/>
        <v>#REF!</v>
      </c>
      <c r="Z493" t="e">
        <f t="shared" ca="1" si="96"/>
        <v>#REF!</v>
      </c>
      <c r="AB493" t="e">
        <f t="shared" ca="1" si="104"/>
        <v>#REF!</v>
      </c>
      <c r="AD493" t="e">
        <f t="shared" ca="1" si="105"/>
        <v>#REF!</v>
      </c>
    </row>
    <row r="494" spans="1:30" x14ac:dyDescent="0.3">
      <c r="A494" s="150">
        <v>487</v>
      </c>
      <c r="B494" s="150" t="str">
        <f t="shared" si="97"/>
        <v>RS1</v>
      </c>
      <c r="D494" t="s">
        <v>416</v>
      </c>
      <c r="E494">
        <f t="shared" ca="1" si="98"/>
        <v>0</v>
      </c>
      <c r="F494" t="e">
        <f t="shared" ca="1" si="106"/>
        <v>#REF!</v>
      </c>
      <c r="G494" t="s">
        <v>417</v>
      </c>
      <c r="H494" t="s">
        <v>421</v>
      </c>
      <c r="I494" t="e">
        <f t="shared" ca="1" si="99"/>
        <v>#REF!</v>
      </c>
      <c r="J494" t="e">
        <f t="shared" ca="1" si="100"/>
        <v>#REF!</v>
      </c>
      <c r="K494" t="s">
        <v>431</v>
      </c>
      <c r="L494" s="150" t="s">
        <v>423</v>
      </c>
      <c r="M494" s="150" t="s">
        <v>435</v>
      </c>
      <c r="N494" t="e">
        <f t="shared" ca="1" si="101"/>
        <v>#REF!</v>
      </c>
      <c r="O494" s="150" t="s">
        <v>412</v>
      </c>
      <c r="P494" s="150" t="s">
        <v>428</v>
      </c>
      <c r="Q494" s="150" t="s">
        <v>399</v>
      </c>
      <c r="R494" t="e">
        <f t="shared" ca="1" si="102"/>
        <v>#REF!</v>
      </c>
      <c r="S494" t="s">
        <v>398</v>
      </c>
      <c r="T494" t="s">
        <v>448</v>
      </c>
      <c r="U494" t="str">
        <f t="shared" ca="1" si="94"/>
        <v>Sheets("Master Data").Range("0" &amp; RowNo).Value</v>
      </c>
      <c r="V494" t="e">
        <f t="shared" ca="1" si="103"/>
        <v>#REF!</v>
      </c>
      <c r="X494" t="e">
        <f t="shared" ca="1" si="95"/>
        <v>#REF!</v>
      </c>
      <c r="Z494" t="e">
        <f t="shared" ca="1" si="96"/>
        <v>#REF!</v>
      </c>
      <c r="AB494" t="e">
        <f t="shared" ca="1" si="104"/>
        <v>#REF!</v>
      </c>
      <c r="AD494" t="e">
        <f t="shared" ca="1" si="105"/>
        <v>#REF!</v>
      </c>
    </row>
    <row r="495" spans="1:30" x14ac:dyDescent="0.3">
      <c r="A495" s="150">
        <v>488</v>
      </c>
      <c r="B495" s="150" t="str">
        <f t="shared" si="97"/>
        <v>RT1</v>
      </c>
      <c r="D495" t="s">
        <v>416</v>
      </c>
      <c r="E495">
        <f t="shared" ca="1" si="98"/>
        <v>0</v>
      </c>
      <c r="F495" t="e">
        <f t="shared" ca="1" si="106"/>
        <v>#REF!</v>
      </c>
      <c r="G495" t="s">
        <v>417</v>
      </c>
      <c r="H495" t="s">
        <v>421</v>
      </c>
      <c r="I495" t="e">
        <f t="shared" ca="1" si="99"/>
        <v>#REF!</v>
      </c>
      <c r="J495" t="e">
        <f t="shared" ca="1" si="100"/>
        <v>#REF!</v>
      </c>
      <c r="K495" t="s">
        <v>431</v>
      </c>
      <c r="L495" s="150" t="s">
        <v>423</v>
      </c>
      <c r="M495" s="150" t="s">
        <v>435</v>
      </c>
      <c r="N495" t="e">
        <f t="shared" ca="1" si="101"/>
        <v>#REF!</v>
      </c>
      <c r="O495" s="150" t="s">
        <v>412</v>
      </c>
      <c r="P495" s="150" t="s">
        <v>428</v>
      </c>
      <c r="Q495" s="150" t="s">
        <v>399</v>
      </c>
      <c r="R495" t="e">
        <f t="shared" ca="1" si="102"/>
        <v>#REF!</v>
      </c>
      <c r="S495" t="s">
        <v>398</v>
      </c>
      <c r="T495" t="s">
        <v>448</v>
      </c>
      <c r="U495" t="str">
        <f t="shared" ca="1" si="94"/>
        <v>Sheets("Master Data").Range("0" &amp; RowNo).Value</v>
      </c>
      <c r="V495" t="e">
        <f t="shared" ca="1" si="103"/>
        <v>#REF!</v>
      </c>
      <c r="X495" t="e">
        <f t="shared" ca="1" si="95"/>
        <v>#REF!</v>
      </c>
      <c r="Z495" t="e">
        <f t="shared" ca="1" si="96"/>
        <v>#REF!</v>
      </c>
      <c r="AB495" t="e">
        <f t="shared" ca="1" si="104"/>
        <v>#REF!</v>
      </c>
      <c r="AD495" t="e">
        <f t="shared" ca="1" si="105"/>
        <v>#REF!</v>
      </c>
    </row>
  </sheetData>
  <sheetProtection password="E027"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51</vt:i4>
      </vt:variant>
    </vt:vector>
  </HeadingPairs>
  <TitlesOfParts>
    <vt:vector size="56" baseType="lpstr">
      <vt:lpstr>Master Data</vt:lpstr>
      <vt:lpstr>Specification</vt:lpstr>
      <vt:lpstr>Guideline</vt:lpstr>
      <vt:lpstr>Multi Attributes Input</vt:lpstr>
      <vt:lpstr>Macro Build</vt:lpstr>
      <vt:lpstr>Guideline!Checkbox</vt:lpstr>
      <vt:lpstr>'Multi Attributes Input'!Checkbox</vt:lpstr>
      <vt:lpstr>Specification!Checkbox</vt:lpstr>
      <vt:lpstr>Guideline!EM_Category</vt:lpstr>
      <vt:lpstr>'Multi Attributes Input'!EM_Category</vt:lpstr>
      <vt:lpstr>Specification!EM_Category</vt:lpstr>
      <vt:lpstr>Guideline!EM_Corporate_Department</vt:lpstr>
      <vt:lpstr>'Multi Attributes Input'!EM_Corporate_Department</vt:lpstr>
      <vt:lpstr>Specification!EM_Corporate_Department</vt:lpstr>
      <vt:lpstr>Guideline!EM_Critical</vt:lpstr>
      <vt:lpstr>'Multi Attributes Input'!EM_Critical</vt:lpstr>
      <vt:lpstr>Specification!EM_Critical</vt:lpstr>
      <vt:lpstr>Guideline!EM_Department_Applicability</vt:lpstr>
      <vt:lpstr>'Multi Attributes Input'!EM_Department_Applicability</vt:lpstr>
      <vt:lpstr>Specification!EM_Department_Applicability</vt:lpstr>
      <vt:lpstr>Guideline!EM_Finance</vt:lpstr>
      <vt:lpstr>'Multi Attributes Input'!EM_Finance</vt:lpstr>
      <vt:lpstr>Specification!EM_Finance</vt:lpstr>
      <vt:lpstr>Guideline!EM_Guest_Journey</vt:lpstr>
      <vt:lpstr>'Multi Attributes Input'!EM_Guest_Journey</vt:lpstr>
      <vt:lpstr>Specification!EM_Guest_Journey</vt:lpstr>
      <vt:lpstr>Guideline!EM_IHG_Supporting_Link_Types</vt:lpstr>
      <vt:lpstr>'Multi Attributes Input'!EM_IHG_Supporting_Link_Types</vt:lpstr>
      <vt:lpstr>Specification!EM_IHG_Supporting_Link_Types</vt:lpstr>
      <vt:lpstr>Guideline!EM_Location_within_Hotel</vt:lpstr>
      <vt:lpstr>'Multi Attributes Input'!EM_Location_within_Hotel</vt:lpstr>
      <vt:lpstr>Specification!EM_Location_within_Hotel</vt:lpstr>
      <vt:lpstr>Guideline!EM_Manual</vt:lpstr>
      <vt:lpstr>'Multi Attributes Input'!EM_Manual</vt:lpstr>
      <vt:lpstr>Specification!EM_Manual</vt:lpstr>
      <vt:lpstr>Guideline!EM_New_Amend_Delete</vt:lpstr>
      <vt:lpstr>'Multi Attributes Input'!EM_New_Amend_Delete</vt:lpstr>
      <vt:lpstr>Specification!EM_New_Amend_Delete</vt:lpstr>
      <vt:lpstr>Guideline!EM_Ownership_Type</vt:lpstr>
      <vt:lpstr>'Multi Attributes Input'!EM_Ownership_Type</vt:lpstr>
      <vt:lpstr>Specification!EM_Ownership_Type</vt:lpstr>
      <vt:lpstr>Guideline!EM_Status</vt:lpstr>
      <vt:lpstr>'Multi Attributes Input'!EM_Status</vt:lpstr>
      <vt:lpstr>Specification!EM_Status</vt:lpstr>
      <vt:lpstr>Guideline!EM_The_Five_Action_Ps</vt:lpstr>
      <vt:lpstr>'Multi Attributes Input'!EM_The_Five_Action_Ps</vt:lpstr>
      <vt:lpstr>Specification!EM_The_Five_Action_Ps</vt:lpstr>
      <vt:lpstr>Guideline!EM_Wheel_Quadrant</vt:lpstr>
      <vt:lpstr>'Multi Attributes Input'!EM_Wheel_Quadrant</vt:lpstr>
      <vt:lpstr>Specification!EM_Wheel_Quadrant</vt:lpstr>
      <vt:lpstr>Guideline!EM_Yes_No</vt:lpstr>
      <vt:lpstr>'Multi Attributes Input'!EM_Yes_No</vt:lpstr>
      <vt:lpstr>Specification!EM_Yes_No</vt:lpstr>
      <vt:lpstr>Guideline!Print_Area</vt:lpstr>
      <vt:lpstr>'Multi Attributes Input'!Print_Area</vt:lpstr>
      <vt:lpstr>Specification!Print_Area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Try2be</dc:creator>
  <cp:lastModifiedBy>Akhani, Chintan( Cignex Offshore)</cp:lastModifiedBy>
  <cp:lastPrinted>2012-10-23T08:16:26Z</cp:lastPrinted>
  <dcterms:created xsi:type="dcterms:W3CDTF">2012-07-19T13:42:44Z</dcterms:created>
  <dcterms:modified xsi:type="dcterms:W3CDTF">2014-07-09T19:44:26Z</dcterms:modified>
</cp:coreProperties>
</file>